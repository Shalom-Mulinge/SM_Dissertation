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Oxford\Dissertation\Data\Modelling\"/>
    </mc:Choice>
  </mc:AlternateContent>
  <xr:revisionPtr revIDLastSave="0" documentId="13_ncr:1_{45825A38-C811-423F-A4B2-12177D7ED72E}" xr6:coauthVersionLast="47" xr6:coauthVersionMax="47" xr10:uidLastSave="{00000000-0000-0000-0000-000000000000}"/>
  <bookViews>
    <workbookView xWindow="-108" yWindow="-108" windowWidth="23256" windowHeight="12456" activeTab="2" xr2:uid="{52FFF6EF-83DD-4E9F-BD19-5ECB4B669776}"/>
  </bookViews>
  <sheets>
    <sheet name="Summary Results" sheetId="10" r:id="rId1"/>
    <sheet name="Assumptions" sheetId="1" r:id="rId2"/>
    <sheet name="Model_Kenya_2025" sheetId="7" r:id="rId3"/>
    <sheet name="Model_Zambia_2025" sheetId="9" r:id="rId4"/>
    <sheet name="Sensitivity_Analysis" sheetId="11" r:id="rId5"/>
    <sheet name="WACC_sensitivity" sheetId="12" r:id="rId6"/>
    <sheet name="HH_sensitivity" sheetId="17" r:id="rId7"/>
    <sheet name="Income_sensitivity" sheetId="18" r:id="rId8"/>
    <sheet name="Scenario Charts" sheetId="16" r:id="rId9"/>
    <sheet name="Sensitivity Charts" sheetId="14" r:id="rId10"/>
    <sheet name="Model_Zambia_2020" sheetId="4" state="hidden" r:id="rId11"/>
    <sheet name="Model_Kenya_2020" sheetId="2" state="hidden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4" i="7" l="1"/>
  <c r="M24" i="7"/>
  <c r="G20" i="7"/>
  <c r="C10" i="1"/>
  <c r="B13" i="1"/>
  <c r="E6" i="1"/>
  <c r="C13" i="9"/>
  <c r="N48" i="1"/>
  <c r="N49" i="1"/>
  <c r="N50" i="1"/>
  <c r="N51" i="1"/>
  <c r="N52" i="1"/>
  <c r="N53" i="1"/>
  <c r="N54" i="1"/>
  <c r="N55" i="1"/>
  <c r="N56" i="1"/>
  <c r="N57" i="1"/>
  <c r="M48" i="1"/>
  <c r="M49" i="1"/>
  <c r="M50" i="1"/>
  <c r="M51" i="1"/>
  <c r="M52" i="1"/>
  <c r="M53" i="1"/>
  <c r="M54" i="1"/>
  <c r="M55" i="1"/>
  <c r="M56" i="1"/>
  <c r="M57" i="1"/>
  <c r="L49" i="1"/>
  <c r="L50" i="1" s="1"/>
  <c r="L51" i="1" s="1"/>
  <c r="L52" i="1" s="1"/>
  <c r="L53" i="1" s="1"/>
  <c r="L54" i="1" s="1"/>
  <c r="L55" i="1" s="1"/>
  <c r="L56" i="1" s="1"/>
  <c r="L57" i="1" s="1"/>
  <c r="O49" i="1" l="1"/>
  <c r="B49" i="1" s="1"/>
  <c r="O57" i="1"/>
  <c r="B57" i="1" s="1"/>
  <c r="P51" i="1"/>
  <c r="C51" i="1" s="1"/>
  <c r="O50" i="1"/>
  <c r="B50" i="1" s="1"/>
  <c r="P52" i="1"/>
  <c r="C52" i="1" s="1"/>
  <c r="B13" i="4" s="1"/>
  <c r="O51" i="1"/>
  <c r="B51" i="1" s="1"/>
  <c r="P53" i="1"/>
  <c r="C53" i="1" s="1"/>
  <c r="C13" i="4" s="1"/>
  <c r="O52" i="1"/>
  <c r="B52" i="1" s="1"/>
  <c r="B13" i="2" s="1"/>
  <c r="P55" i="1"/>
  <c r="C55" i="1" s="1"/>
  <c r="E13" i="4" s="1"/>
  <c r="O56" i="1"/>
  <c r="B56" i="1" s="1"/>
  <c r="F13" i="2" s="1"/>
  <c r="P50" i="1"/>
  <c r="C50" i="1" s="1"/>
  <c r="O55" i="1"/>
  <c r="B55" i="1" s="1"/>
  <c r="E13" i="2" s="1"/>
  <c r="P57" i="1"/>
  <c r="C57" i="1" s="1"/>
  <c r="P49" i="1"/>
  <c r="C49" i="1" s="1"/>
  <c r="O53" i="1"/>
  <c r="B53" i="1" s="1"/>
  <c r="C13" i="2" s="1"/>
  <c r="P54" i="1"/>
  <c r="C54" i="1" s="1"/>
  <c r="D13" i="4" s="1"/>
  <c r="O48" i="1"/>
  <c r="B48" i="1" s="1"/>
  <c r="O54" i="1"/>
  <c r="B54" i="1" s="1"/>
  <c r="D13" i="2" s="1"/>
  <c r="P56" i="1"/>
  <c r="C56" i="1" s="1"/>
  <c r="F13" i="4" s="1"/>
  <c r="P48" i="1"/>
  <c r="C48" i="1" s="1"/>
  <c r="I2" i="14"/>
  <c r="H2" i="14"/>
  <c r="G2" i="14"/>
  <c r="F2" i="14"/>
  <c r="E2" i="14"/>
  <c r="D2" i="14"/>
  <c r="C2" i="14"/>
  <c r="B2" i="14"/>
  <c r="Q34" i="16"/>
  <c r="L34" i="16"/>
  <c r="Q33" i="16"/>
  <c r="Q32" i="16"/>
  <c r="L32" i="16"/>
  <c r="L33" i="16"/>
  <c r="Q6" i="16"/>
  <c r="L6" i="16"/>
  <c r="Q5" i="16"/>
  <c r="L5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" i="16"/>
  <c r="I6" i="14"/>
  <c r="H6" i="14"/>
  <c r="G6" i="14"/>
  <c r="F6" i="14"/>
  <c r="E6" i="14"/>
  <c r="D6" i="14"/>
  <c r="C6" i="14"/>
  <c r="B6" i="14"/>
  <c r="I5" i="14"/>
  <c r="H5" i="14"/>
  <c r="G5" i="14"/>
  <c r="F5" i="14"/>
  <c r="E5" i="14"/>
  <c r="D5" i="14"/>
  <c r="C5" i="14"/>
  <c r="B5" i="14"/>
  <c r="I4" i="14"/>
  <c r="H4" i="14"/>
  <c r="G4" i="14"/>
  <c r="F4" i="14"/>
  <c r="E4" i="14"/>
  <c r="D4" i="14"/>
  <c r="C4" i="14"/>
  <c r="B4" i="14"/>
  <c r="I3" i="14"/>
  <c r="H3" i="14"/>
  <c r="G3" i="14"/>
  <c r="F3" i="14"/>
  <c r="E3" i="14"/>
  <c r="D3" i="14"/>
  <c r="C3" i="14"/>
  <c r="B3" i="14"/>
  <c r="C28" i="12"/>
  <c r="C29" i="12"/>
  <c r="C30" i="12"/>
  <c r="C31" i="12"/>
  <c r="C32" i="12"/>
  <c r="C33" i="12"/>
  <c r="C34" i="12"/>
  <c r="C27" i="12"/>
  <c r="C20" i="12"/>
  <c r="C21" i="12"/>
  <c r="C22" i="12"/>
  <c r="C23" i="12"/>
  <c r="C24" i="12"/>
  <c r="C25" i="12"/>
  <c r="C26" i="12"/>
  <c r="C19" i="12"/>
  <c r="C12" i="12"/>
  <c r="C13" i="12"/>
  <c r="C14" i="12"/>
  <c r="C15" i="12"/>
  <c r="C16" i="12"/>
  <c r="C17" i="12"/>
  <c r="C18" i="12"/>
  <c r="C11" i="12"/>
  <c r="C4" i="12"/>
  <c r="C5" i="12"/>
  <c r="C6" i="12"/>
  <c r="C7" i="12"/>
  <c r="C8" i="12"/>
  <c r="C9" i="12"/>
  <c r="C10" i="12"/>
  <c r="C3" i="12"/>
  <c r="E92" i="11"/>
  <c r="E91" i="11"/>
  <c r="E90" i="11"/>
  <c r="E89" i="11"/>
  <c r="B54" i="11"/>
  <c r="B53" i="11"/>
  <c r="B52" i="11"/>
  <c r="B51" i="11"/>
  <c r="B50" i="11"/>
  <c r="B49" i="11"/>
  <c r="B44" i="11"/>
  <c r="B43" i="11"/>
  <c r="B42" i="11"/>
  <c r="B38" i="11"/>
  <c r="B37" i="11"/>
  <c r="B36" i="11"/>
  <c r="B30" i="11"/>
  <c r="B29" i="11"/>
  <c r="B28" i="11"/>
  <c r="B26" i="11"/>
  <c r="B25" i="11"/>
  <c r="B48" i="11"/>
  <c r="B47" i="11"/>
  <c r="B41" i="11"/>
  <c r="B40" i="11"/>
  <c r="B39" i="11"/>
  <c r="B33" i="11"/>
  <c r="B35" i="11"/>
  <c r="B34" i="11"/>
  <c r="B27" i="11"/>
  <c r="B24" i="11"/>
  <c r="B23" i="11"/>
  <c r="B20" i="11"/>
  <c r="B19" i="11"/>
  <c r="B18" i="11"/>
  <c r="B17" i="11"/>
  <c r="F3" i="10"/>
  <c r="B33" i="7"/>
  <c r="C96" i="1"/>
  <c r="E45" i="9" s="1"/>
  <c r="B96" i="1"/>
  <c r="J44" i="7" s="1"/>
  <c r="B19" i="1"/>
  <c r="B23" i="1" s="1"/>
  <c r="B6" i="1"/>
  <c r="B12" i="1" s="1"/>
  <c r="L22" i="2"/>
  <c r="C24" i="1"/>
  <c r="C26" i="1"/>
  <c r="B26" i="1"/>
  <c r="B24" i="1"/>
  <c r="C19" i="1"/>
  <c r="C25" i="1" s="1"/>
  <c r="H3" i="10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M20" i="9"/>
  <c r="M19" i="9"/>
  <c r="M18" i="9"/>
  <c r="M17" i="9"/>
  <c r="B93" i="1"/>
  <c r="C93" i="1"/>
  <c r="B95" i="1"/>
  <c r="C95" i="1"/>
  <c r="C43" i="1"/>
  <c r="C102" i="1" s="1"/>
  <c r="B40" i="1"/>
  <c r="B102" i="1" s="1"/>
  <c r="C34" i="9"/>
  <c r="D34" i="9"/>
  <c r="E34" i="9"/>
  <c r="F34" i="9"/>
  <c r="G34" i="9"/>
  <c r="H34" i="9"/>
  <c r="I34" i="9"/>
  <c r="J34" i="9"/>
  <c r="K34" i="9"/>
  <c r="L34" i="9"/>
  <c r="B34" i="9"/>
  <c r="C36" i="4"/>
  <c r="D36" i="4"/>
  <c r="E36" i="4"/>
  <c r="F36" i="4"/>
  <c r="G36" i="4"/>
  <c r="H36" i="4"/>
  <c r="I36" i="4"/>
  <c r="J36" i="4"/>
  <c r="K36" i="4"/>
  <c r="L36" i="4"/>
  <c r="B36" i="4"/>
  <c r="B35" i="2"/>
  <c r="F7" i="4"/>
  <c r="E7" i="4"/>
  <c r="D7" i="4"/>
  <c r="C7" i="4"/>
  <c r="B7" i="4"/>
  <c r="C33" i="7"/>
  <c r="D33" i="7"/>
  <c r="E33" i="7"/>
  <c r="F33" i="7"/>
  <c r="G33" i="7"/>
  <c r="H33" i="7"/>
  <c r="I33" i="7"/>
  <c r="J33" i="7"/>
  <c r="K33" i="7"/>
  <c r="L33" i="7"/>
  <c r="M18" i="7"/>
  <c r="M19" i="7"/>
  <c r="M17" i="7"/>
  <c r="G22" i="7"/>
  <c r="F22" i="7"/>
  <c r="E22" i="7"/>
  <c r="D22" i="7"/>
  <c r="C22" i="7"/>
  <c r="B22" i="7"/>
  <c r="G21" i="7"/>
  <c r="F21" i="7"/>
  <c r="E21" i="7"/>
  <c r="D21" i="7"/>
  <c r="C21" i="7"/>
  <c r="B21" i="7"/>
  <c r="F20" i="7"/>
  <c r="E20" i="7"/>
  <c r="D20" i="7"/>
  <c r="C20" i="7"/>
  <c r="B20" i="7"/>
  <c r="B7" i="2"/>
  <c r="C7" i="2"/>
  <c r="D7" i="2"/>
  <c r="E7" i="2"/>
  <c r="F7" i="2"/>
  <c r="C35" i="2"/>
  <c r="D35" i="2"/>
  <c r="E35" i="2"/>
  <c r="F35" i="2"/>
  <c r="G35" i="2"/>
  <c r="H35" i="2"/>
  <c r="I35" i="2"/>
  <c r="J35" i="2"/>
  <c r="K35" i="2"/>
  <c r="L35" i="2"/>
  <c r="M20" i="4"/>
  <c r="M19" i="4"/>
  <c r="M18" i="4"/>
  <c r="M17" i="4"/>
  <c r="M18" i="2"/>
  <c r="M19" i="2"/>
  <c r="M17" i="2"/>
  <c r="F11" i="10" a="1"/>
  <c r="K11" i="10" a="1"/>
  <c r="L11" i="10" a="1"/>
  <c r="D11" i="10" a="1"/>
  <c r="H11" i="10" a="1"/>
  <c r="I11" i="10" a="1"/>
  <c r="E11" i="10" a="1"/>
  <c r="J11" i="10" a="1"/>
  <c r="C11" i="10" a="1"/>
  <c r="G11" i="10" a="1"/>
  <c r="B11" i="10" a="1"/>
  <c r="B58" i="1" l="1" a="1"/>
  <c r="C58" i="1" a="1"/>
  <c r="G13" i="4"/>
  <c r="G14" i="4" s="1"/>
  <c r="B13" i="9"/>
  <c r="G13" i="2"/>
  <c r="G14" i="2" s="1"/>
  <c r="B13" i="7"/>
  <c r="B10" i="1"/>
  <c r="B72" i="11"/>
  <c r="B74" i="11"/>
  <c r="B69" i="11"/>
  <c r="B83" i="11"/>
  <c r="M6" i="12"/>
  <c r="M4" i="12"/>
  <c r="M5" i="12"/>
  <c r="M3" i="12"/>
  <c r="L3" i="12"/>
  <c r="N3" i="12" s="1"/>
  <c r="B84" i="11"/>
  <c r="L4" i="12"/>
  <c r="N4" i="12" s="1"/>
  <c r="L5" i="12"/>
  <c r="N5" i="12" s="1"/>
  <c r="L6" i="12"/>
  <c r="N6" i="12" s="1"/>
  <c r="B57" i="11"/>
  <c r="C35" i="14" s="1"/>
  <c r="B58" i="11"/>
  <c r="B35" i="14" s="1"/>
  <c r="B79" i="11"/>
  <c r="B34" i="14" s="1"/>
  <c r="B70" i="11"/>
  <c r="B61" i="11"/>
  <c r="B71" i="11"/>
  <c r="B85" i="11"/>
  <c r="B82" i="11"/>
  <c r="B80" i="11"/>
  <c r="C34" i="14" s="1"/>
  <c r="B67" i="11"/>
  <c r="B59" i="11"/>
  <c r="B60" i="11"/>
  <c r="B81" i="11"/>
  <c r="B75" i="11"/>
  <c r="B86" i="11"/>
  <c r="H45" i="9"/>
  <c r="B68" i="11"/>
  <c r="C33" i="14" s="1"/>
  <c r="B76" i="11"/>
  <c r="L47" i="4"/>
  <c r="B66" i="11"/>
  <c r="B33" i="14" s="1"/>
  <c r="B62" i="11"/>
  <c r="B77" i="11"/>
  <c r="K47" i="4"/>
  <c r="B63" i="11"/>
  <c r="G47" i="4"/>
  <c r="B73" i="11"/>
  <c r="B64" i="11"/>
  <c r="E47" i="4"/>
  <c r="B47" i="4"/>
  <c r="L45" i="9"/>
  <c r="K45" i="9"/>
  <c r="D47" i="4"/>
  <c r="J45" i="9"/>
  <c r="C47" i="4"/>
  <c r="I45" i="9"/>
  <c r="J47" i="4"/>
  <c r="G45" i="9"/>
  <c r="I47" i="4"/>
  <c r="F45" i="9"/>
  <c r="B25" i="9"/>
  <c r="D24" i="9"/>
  <c r="B44" i="7"/>
  <c r="H47" i="4"/>
  <c r="C45" i="9"/>
  <c r="C25" i="9"/>
  <c r="E24" i="9"/>
  <c r="F47" i="4"/>
  <c r="B45" i="9"/>
  <c r="D45" i="9"/>
  <c r="C26" i="9"/>
  <c r="C27" i="9" s="1"/>
  <c r="M23" i="9"/>
  <c r="G28" i="9"/>
  <c r="B26" i="9"/>
  <c r="D28" i="9"/>
  <c r="F24" i="9"/>
  <c r="B24" i="9"/>
  <c r="E28" i="9"/>
  <c r="G24" i="9"/>
  <c r="C24" i="9"/>
  <c r="F28" i="9"/>
  <c r="B27" i="1"/>
  <c r="B30" i="1" s="1"/>
  <c r="H46" i="2"/>
  <c r="F46" i="2"/>
  <c r="B46" i="2"/>
  <c r="E46" i="2"/>
  <c r="L46" i="2"/>
  <c r="D46" i="2"/>
  <c r="K46" i="2"/>
  <c r="C46" i="2"/>
  <c r="K44" i="7"/>
  <c r="J46" i="2"/>
  <c r="I44" i="7"/>
  <c r="I46" i="2"/>
  <c r="G46" i="2"/>
  <c r="H44" i="7"/>
  <c r="G44" i="7"/>
  <c r="F44" i="7"/>
  <c r="E44" i="7"/>
  <c r="D44" i="7"/>
  <c r="L44" i="7"/>
  <c r="C44" i="7"/>
  <c r="B25" i="1"/>
  <c r="B28" i="1" s="1"/>
  <c r="B31" i="1" s="1"/>
  <c r="C28" i="1"/>
  <c r="C31" i="1" s="1"/>
  <c r="C23" i="1"/>
  <c r="D26" i="9"/>
  <c r="D27" i="9" s="1"/>
  <c r="D25" i="9"/>
  <c r="E25" i="9"/>
  <c r="M21" i="9"/>
  <c r="F25" i="9"/>
  <c r="E26" i="9"/>
  <c r="E27" i="9" s="1"/>
  <c r="F26" i="9"/>
  <c r="F27" i="9" s="1"/>
  <c r="C28" i="9"/>
  <c r="G25" i="9"/>
  <c r="B28" i="9"/>
  <c r="G26" i="9"/>
  <c r="G27" i="9" s="1"/>
  <c r="M22" i="9"/>
  <c r="G25" i="7"/>
  <c r="G26" i="7" s="1"/>
  <c r="M21" i="7"/>
  <c r="M20" i="7"/>
  <c r="D25" i="7"/>
  <c r="D26" i="7" s="1"/>
  <c r="F25" i="7"/>
  <c r="F26" i="7" s="1"/>
  <c r="B25" i="7"/>
  <c r="D23" i="7"/>
  <c r="C27" i="7"/>
  <c r="E25" i="7"/>
  <c r="E26" i="7" s="1"/>
  <c r="D24" i="7"/>
  <c r="E24" i="7"/>
  <c r="F24" i="7"/>
  <c r="G27" i="7"/>
  <c r="B27" i="7"/>
  <c r="C23" i="7"/>
  <c r="G23" i="7"/>
  <c r="E23" i="7"/>
  <c r="F23" i="7"/>
  <c r="G24" i="7"/>
  <c r="D27" i="7"/>
  <c r="F27" i="7"/>
  <c r="B24" i="7"/>
  <c r="C25" i="7"/>
  <c r="C26" i="7" s="1"/>
  <c r="B23" i="7"/>
  <c r="E27" i="7"/>
  <c r="H22" i="2"/>
  <c r="I22" i="2"/>
  <c r="J22" i="2"/>
  <c r="K22" i="2"/>
  <c r="G22" i="2"/>
  <c r="H20" i="2"/>
  <c r="I20" i="2"/>
  <c r="J20" i="2"/>
  <c r="K20" i="2"/>
  <c r="L20" i="2"/>
  <c r="H21" i="2"/>
  <c r="I21" i="2"/>
  <c r="J21" i="2"/>
  <c r="K21" i="2"/>
  <c r="L21" i="2"/>
  <c r="G21" i="2"/>
  <c r="G20" i="2"/>
  <c r="H21" i="4"/>
  <c r="H23" i="4"/>
  <c r="I23" i="4"/>
  <c r="J23" i="4"/>
  <c r="K23" i="4"/>
  <c r="L23" i="4"/>
  <c r="G23" i="4"/>
  <c r="H22" i="4"/>
  <c r="I22" i="4"/>
  <c r="J22" i="4"/>
  <c r="K22" i="4"/>
  <c r="L22" i="4"/>
  <c r="G22" i="4"/>
  <c r="I21" i="4"/>
  <c r="J21" i="4"/>
  <c r="K21" i="4"/>
  <c r="L21" i="4"/>
  <c r="G21" i="4"/>
  <c r="F14" i="4"/>
  <c r="E14" i="4"/>
  <c r="D14" i="4"/>
  <c r="C14" i="4"/>
  <c r="B14" i="4"/>
  <c r="I6" i="10" a="1"/>
  <c r="B14" i="7" l="1"/>
  <c r="B14" i="9"/>
  <c r="D91" i="11"/>
  <c r="D97" i="11" s="1"/>
  <c r="M25" i="9"/>
  <c r="M24" i="9"/>
  <c r="B27" i="9"/>
  <c r="M26" i="9"/>
  <c r="C90" i="11"/>
  <c r="C96" i="11" s="1"/>
  <c r="B89" i="11"/>
  <c r="B95" i="11" s="1"/>
  <c r="D89" i="11"/>
  <c r="D95" i="11" s="1"/>
  <c r="B91" i="11"/>
  <c r="B97" i="11" s="1"/>
  <c r="D90" i="11"/>
  <c r="D96" i="11" s="1"/>
  <c r="D92" i="11"/>
  <c r="D98" i="11" s="1"/>
  <c r="C91" i="11"/>
  <c r="C97" i="11" s="1"/>
  <c r="B90" i="11"/>
  <c r="B96" i="11" s="1"/>
  <c r="C92" i="11"/>
  <c r="C98" i="11" s="1"/>
  <c r="C89" i="11"/>
  <c r="C95" i="11" s="1"/>
  <c r="B92" i="11"/>
  <c r="B98" i="11" s="1"/>
  <c r="M28" i="9"/>
  <c r="H25" i="2"/>
  <c r="H26" i="2" s="1"/>
  <c r="M27" i="7"/>
  <c r="M23" i="7"/>
  <c r="M25" i="7"/>
  <c r="H27" i="2"/>
  <c r="K26" i="4"/>
  <c r="K27" i="4" s="1"/>
  <c r="M21" i="4"/>
  <c r="L24" i="4"/>
  <c r="K23" i="2"/>
  <c r="M20" i="2"/>
  <c r="L23" i="2"/>
  <c r="J28" i="4"/>
  <c r="G26" i="4"/>
  <c r="M23" i="4"/>
  <c r="L28" i="4"/>
  <c r="J26" i="4"/>
  <c r="J27" i="4" s="1"/>
  <c r="G24" i="4"/>
  <c r="M22" i="4"/>
  <c r="M21" i="2"/>
  <c r="M22" i="2"/>
  <c r="G25" i="2"/>
  <c r="G23" i="2"/>
  <c r="I26" i="4"/>
  <c r="I27" i="4" s="1"/>
  <c r="J25" i="2"/>
  <c r="J26" i="2" s="1"/>
  <c r="J23" i="2"/>
  <c r="H26" i="4"/>
  <c r="H27" i="4" s="1"/>
  <c r="I25" i="2"/>
  <c r="I26" i="2" s="1"/>
  <c r="I23" i="2"/>
  <c r="J25" i="4"/>
  <c r="H23" i="2"/>
  <c r="J24" i="4"/>
  <c r="L26" i="4"/>
  <c r="L27" i="4" s="1"/>
  <c r="H24" i="4"/>
  <c r="G28" i="4"/>
  <c r="K24" i="4"/>
  <c r="I24" i="4"/>
  <c r="L25" i="2"/>
  <c r="L26" i="2" s="1"/>
  <c r="K25" i="2"/>
  <c r="K26" i="2" s="1"/>
  <c r="G27" i="2"/>
  <c r="I25" i="4"/>
  <c r="G25" i="4"/>
  <c r="H28" i="4"/>
  <c r="L25" i="4"/>
  <c r="K28" i="4"/>
  <c r="K25" i="4"/>
  <c r="I28" i="4"/>
  <c r="H25" i="4"/>
  <c r="L27" i="2"/>
  <c r="I27" i="2"/>
  <c r="J27" i="2"/>
  <c r="K27" i="2"/>
  <c r="J24" i="2"/>
  <c r="G24" i="2"/>
  <c r="I24" i="2"/>
  <c r="H24" i="2"/>
  <c r="K24" i="2"/>
  <c r="L24" i="2"/>
  <c r="F14" i="2"/>
  <c r="E14" i="2"/>
  <c r="D14" i="2"/>
  <c r="C14" i="2"/>
  <c r="B14" i="2"/>
  <c r="B15" i="10" a="1"/>
  <c r="E95" i="11"/>
  <c r="E97" i="11"/>
  <c r="E96" i="11"/>
  <c r="E98" i="11"/>
  <c r="M25" i="4"/>
  <c r="M24" i="4"/>
  <c r="M28" i="4"/>
  <c r="G27" i="4"/>
  <c r="M26" i="4"/>
  <c r="M23" i="2"/>
  <c r="M27" i="2"/>
  <c r="M24" i="2"/>
  <c r="M25" i="2"/>
  <c r="C13" i="7"/>
  <c r="C42" i="1"/>
  <c r="C101" i="1" s="1"/>
  <c r="C41" i="1"/>
  <c r="C100" i="1" s="1"/>
  <c r="B39" i="1"/>
  <c r="B101" i="1" s="1"/>
  <c r="B38" i="1"/>
  <c r="B100" i="1" s="1"/>
  <c r="B108" i="1" s="1"/>
  <c r="C27" i="1"/>
  <c r="C30" i="1" s="1"/>
  <c r="C6" i="1"/>
  <c r="B111" i="1" l="1"/>
  <c r="H48" i="4" s="1"/>
  <c r="K45" i="7"/>
  <c r="C11" i="1"/>
  <c r="C99" i="1" s="1"/>
  <c r="D13" i="7"/>
  <c r="C14" i="7"/>
  <c r="B118" i="1"/>
  <c r="B98" i="1"/>
  <c r="B119" i="1"/>
  <c r="H13" i="4"/>
  <c r="H14" i="4" s="1"/>
  <c r="C7" i="1"/>
  <c r="H13" i="2"/>
  <c r="I13" i="2" s="1"/>
  <c r="B11" i="1"/>
  <c r="B99" i="1" s="1"/>
  <c r="C98" i="1"/>
  <c r="E46" i="9" l="1"/>
  <c r="C37" i="4"/>
  <c r="F46" i="9"/>
  <c r="G35" i="9"/>
  <c r="C35" i="9"/>
  <c r="B37" i="4"/>
  <c r="B48" i="4"/>
  <c r="E48" i="4"/>
  <c r="K46" i="9"/>
  <c r="F37" i="4"/>
  <c r="D48" i="4"/>
  <c r="B46" i="9"/>
  <c r="C46" i="9"/>
  <c r="I46" i="9"/>
  <c r="L48" i="4"/>
  <c r="D35" i="9"/>
  <c r="J35" i="9"/>
  <c r="L46" i="9"/>
  <c r="I48" i="4"/>
  <c r="E37" i="4"/>
  <c r="K35" i="9"/>
  <c r="E35" i="9"/>
  <c r="H46" i="9"/>
  <c r="I37" i="4"/>
  <c r="G48" i="4"/>
  <c r="F35" i="9"/>
  <c r="H37" i="4"/>
  <c r="K48" i="4"/>
  <c r="I35" i="9"/>
  <c r="D46" i="9"/>
  <c r="F48" i="4"/>
  <c r="C48" i="4"/>
  <c r="D37" i="4"/>
  <c r="L37" i="4"/>
  <c r="G37" i="4"/>
  <c r="K37" i="4"/>
  <c r="H35" i="9"/>
  <c r="B35" i="9"/>
  <c r="J48" i="4"/>
  <c r="L35" i="9"/>
  <c r="G46" i="9"/>
  <c r="J46" i="9"/>
  <c r="J37" i="4"/>
  <c r="B107" i="1"/>
  <c r="C5" i="17"/>
  <c r="B121" i="1"/>
  <c r="B4" i="7" s="1"/>
  <c r="B42" i="7" s="1"/>
  <c r="I45" i="7"/>
  <c r="I36" i="2"/>
  <c r="F36" i="2"/>
  <c r="G34" i="7"/>
  <c r="K47" i="2"/>
  <c r="L34" i="7"/>
  <c r="E36" i="2"/>
  <c r="F47" i="2"/>
  <c r="F34" i="7"/>
  <c r="D34" i="7"/>
  <c r="E47" i="2"/>
  <c r="D45" i="7"/>
  <c r="J47" i="2"/>
  <c r="D47" i="2"/>
  <c r="C45" i="7"/>
  <c r="C36" i="2"/>
  <c r="I47" i="2"/>
  <c r="C34" i="7"/>
  <c r="H45" i="7"/>
  <c r="J36" i="2"/>
  <c r="B36" i="2"/>
  <c r="B47" i="2"/>
  <c r="H34" i="7"/>
  <c r="E45" i="7"/>
  <c r="H36" i="2"/>
  <c r="L47" i="2"/>
  <c r="L45" i="7"/>
  <c r="J45" i="7"/>
  <c r="J34" i="7"/>
  <c r="L36" i="2"/>
  <c r="B45" i="7"/>
  <c r="B34" i="7"/>
  <c r="F45" i="7"/>
  <c r="G47" i="2"/>
  <c r="D36" i="2"/>
  <c r="H47" i="2"/>
  <c r="K34" i="7"/>
  <c r="E34" i="7"/>
  <c r="I34" i="7"/>
  <c r="G36" i="2"/>
  <c r="K36" i="2"/>
  <c r="C47" i="2"/>
  <c r="G45" i="7"/>
  <c r="B110" i="1"/>
  <c r="C13" i="1"/>
  <c r="C12" i="1"/>
  <c r="C118" i="1" s="1"/>
  <c r="I13" i="4"/>
  <c r="I14" i="4" s="1"/>
  <c r="H14" i="2"/>
  <c r="E13" i="7"/>
  <c r="D14" i="7"/>
  <c r="C14" i="9"/>
  <c r="D13" i="9"/>
  <c r="J13" i="2"/>
  <c r="I14" i="2"/>
  <c r="C15" i="10" a="1"/>
  <c r="C25" i="17" l="1"/>
  <c r="B9" i="7"/>
  <c r="B10" i="7"/>
  <c r="J13" i="4"/>
  <c r="J14" i="4" s="1"/>
  <c r="C119" i="1"/>
  <c r="C27" i="17" s="1"/>
  <c r="D4" i="7"/>
  <c r="E4" i="7"/>
  <c r="F4" i="7"/>
  <c r="C4" i="7"/>
  <c r="G4" i="7"/>
  <c r="C4" i="2"/>
  <c r="F13" i="7"/>
  <c r="E14" i="7"/>
  <c r="B5" i="7"/>
  <c r="B31" i="7"/>
  <c r="E13" i="9"/>
  <c r="D14" i="9"/>
  <c r="G4" i="4"/>
  <c r="G56" i="4" s="1"/>
  <c r="H4" i="4"/>
  <c r="H56" i="4" s="1"/>
  <c r="B4" i="4"/>
  <c r="B56" i="4" s="1"/>
  <c r="J4" i="4"/>
  <c r="J56" i="4" s="1"/>
  <c r="C4" i="4"/>
  <c r="C56" i="4" s="1"/>
  <c r="K4" i="4"/>
  <c r="K56" i="4" s="1"/>
  <c r="D4" i="4"/>
  <c r="D56" i="4" s="1"/>
  <c r="L4" i="4"/>
  <c r="L56" i="4" s="1"/>
  <c r="E4" i="4"/>
  <c r="E56" i="4" s="1"/>
  <c r="F4" i="4"/>
  <c r="F56" i="4" s="1"/>
  <c r="I4" i="4"/>
  <c r="I56" i="4" s="1"/>
  <c r="K13" i="2"/>
  <c r="J14" i="2"/>
  <c r="D15" i="10" a="1"/>
  <c r="B122" i="1" l="1"/>
  <c r="D4" i="9" s="1"/>
  <c r="C9" i="7"/>
  <c r="K13" i="4"/>
  <c r="K14" i="4" s="1"/>
  <c r="M56" i="4"/>
  <c r="C10" i="2"/>
  <c r="C55" i="2"/>
  <c r="D42" i="7"/>
  <c r="C5" i="7"/>
  <c r="C7" i="7" s="1"/>
  <c r="E31" i="7"/>
  <c r="E5" i="7"/>
  <c r="K6" i="7" s="1"/>
  <c r="D10" i="7"/>
  <c r="E42" i="7"/>
  <c r="E10" i="7"/>
  <c r="C10" i="7"/>
  <c r="C31" i="7"/>
  <c r="I4" i="7"/>
  <c r="C42" i="7"/>
  <c r="F42" i="7"/>
  <c r="D31" i="7"/>
  <c r="D5" i="7"/>
  <c r="D7" i="7" s="1"/>
  <c r="F10" i="7"/>
  <c r="D9" i="7"/>
  <c r="F9" i="7"/>
  <c r="F31" i="7"/>
  <c r="G5" i="7"/>
  <c r="G52" i="7" s="1"/>
  <c r="F5" i="7"/>
  <c r="F52" i="7" s="1"/>
  <c r="J4" i="7"/>
  <c r="E9" i="7"/>
  <c r="K4" i="7"/>
  <c r="G31" i="7"/>
  <c r="G9" i="7"/>
  <c r="L4" i="7"/>
  <c r="G10" i="7"/>
  <c r="H4" i="7"/>
  <c r="G42" i="7"/>
  <c r="G13" i="7"/>
  <c r="F14" i="7"/>
  <c r="B52" i="7"/>
  <c r="H6" i="7"/>
  <c r="B7" i="7"/>
  <c r="B49" i="7" s="1"/>
  <c r="F13" i="9"/>
  <c r="E14" i="9"/>
  <c r="B11" i="7"/>
  <c r="B45" i="4"/>
  <c r="B34" i="4"/>
  <c r="J45" i="4"/>
  <c r="J34" i="4"/>
  <c r="I45" i="4"/>
  <c r="I34" i="4"/>
  <c r="F34" i="4"/>
  <c r="F45" i="4"/>
  <c r="H34" i="4"/>
  <c r="H45" i="4"/>
  <c r="L45" i="4"/>
  <c r="L34" i="4"/>
  <c r="E45" i="4"/>
  <c r="E34" i="4"/>
  <c r="D45" i="4"/>
  <c r="D34" i="4"/>
  <c r="K45" i="4"/>
  <c r="K34" i="4"/>
  <c r="G34" i="4"/>
  <c r="G45" i="4"/>
  <c r="C45" i="4"/>
  <c r="C34" i="4"/>
  <c r="K10" i="4"/>
  <c r="K7" i="4"/>
  <c r="B5" i="4"/>
  <c r="B55" i="4" s="1"/>
  <c r="B6" i="4"/>
  <c r="B10" i="4"/>
  <c r="H10" i="4"/>
  <c r="H7" i="4"/>
  <c r="G10" i="4"/>
  <c r="G7" i="4"/>
  <c r="L10" i="4"/>
  <c r="L7" i="4"/>
  <c r="C10" i="4"/>
  <c r="C6" i="4"/>
  <c r="J7" i="4"/>
  <c r="J10" i="4"/>
  <c r="I10" i="4"/>
  <c r="I7" i="4"/>
  <c r="I6" i="4"/>
  <c r="F10" i="4"/>
  <c r="K6" i="4"/>
  <c r="J6" i="4"/>
  <c r="H6" i="4"/>
  <c r="G6" i="4"/>
  <c r="F6" i="4"/>
  <c r="L6" i="4"/>
  <c r="E10" i="4"/>
  <c r="E6" i="4"/>
  <c r="D10" i="4"/>
  <c r="D6" i="4"/>
  <c r="C5" i="4"/>
  <c r="C55" i="4" s="1"/>
  <c r="G4" i="2"/>
  <c r="L4" i="2"/>
  <c r="H5" i="4"/>
  <c r="H55" i="4" s="1"/>
  <c r="J4" i="2"/>
  <c r="D5" i="4"/>
  <c r="D55" i="4" s="1"/>
  <c r="F4" i="2"/>
  <c r="F55" i="2" s="1"/>
  <c r="K5" i="4"/>
  <c r="K55" i="4" s="1"/>
  <c r="H4" i="2"/>
  <c r="D4" i="2"/>
  <c r="D55" i="2" s="1"/>
  <c r="I4" i="2"/>
  <c r="I5" i="4"/>
  <c r="I55" i="4" s="1"/>
  <c r="C6" i="2"/>
  <c r="C9" i="2" s="1"/>
  <c r="B4" i="2"/>
  <c r="J5" i="4"/>
  <c r="J55" i="4" s="1"/>
  <c r="M4" i="4"/>
  <c r="L5" i="4"/>
  <c r="L55" i="4" s="1"/>
  <c r="F5" i="4"/>
  <c r="F55" i="4" s="1"/>
  <c r="E5" i="4"/>
  <c r="E55" i="4" s="1"/>
  <c r="G5" i="4"/>
  <c r="G55" i="4" s="1"/>
  <c r="K4" i="2"/>
  <c r="E4" i="2"/>
  <c r="E55" i="2" s="1"/>
  <c r="L13" i="2"/>
  <c r="L14" i="2" s="1"/>
  <c r="K14" i="2"/>
  <c r="E15" i="10" a="1"/>
  <c r="M14" i="2" l="1"/>
  <c r="D49" i="7"/>
  <c r="C49" i="7"/>
  <c r="L13" i="4"/>
  <c r="L14" i="4" s="1"/>
  <c r="M14" i="4" s="1"/>
  <c r="C46" i="7"/>
  <c r="B38" i="7"/>
  <c r="D47" i="7"/>
  <c r="B36" i="7"/>
  <c r="B47" i="7"/>
  <c r="C35" i="7"/>
  <c r="B35" i="7"/>
  <c r="C36" i="7"/>
  <c r="C47" i="7"/>
  <c r="D35" i="7"/>
  <c r="G4" i="9"/>
  <c r="G9" i="9" s="1"/>
  <c r="F4" i="9"/>
  <c r="F10" i="9" s="1"/>
  <c r="B4" i="9"/>
  <c r="E4" i="9"/>
  <c r="E5" i="9" s="1"/>
  <c r="E53" i="9" s="1"/>
  <c r="C4" i="9"/>
  <c r="C43" i="9" s="1"/>
  <c r="D38" i="7"/>
  <c r="C38" i="7"/>
  <c r="C11" i="7"/>
  <c r="C15" i="7" s="1"/>
  <c r="D46" i="7"/>
  <c r="H9" i="7"/>
  <c r="D32" i="9"/>
  <c r="D52" i="7"/>
  <c r="K31" i="7"/>
  <c r="H10" i="2"/>
  <c r="H55" i="2"/>
  <c r="B10" i="2"/>
  <c r="B55" i="2"/>
  <c r="K42" i="7"/>
  <c r="K10" i="2"/>
  <c r="K55" i="2"/>
  <c r="L31" i="7"/>
  <c r="J10" i="2"/>
  <c r="J55" i="2"/>
  <c r="I10" i="2"/>
  <c r="I55" i="2"/>
  <c r="L10" i="2"/>
  <c r="L55" i="2"/>
  <c r="F11" i="7"/>
  <c r="G10" i="2"/>
  <c r="G55" i="2"/>
  <c r="E52" i="7"/>
  <c r="D11" i="7"/>
  <c r="C52" i="7"/>
  <c r="I6" i="7"/>
  <c r="D9" i="9"/>
  <c r="D10" i="9"/>
  <c r="E11" i="7"/>
  <c r="D43" i="9"/>
  <c r="E7" i="7"/>
  <c r="E49" i="7" s="1"/>
  <c r="L42" i="7"/>
  <c r="G7" i="7"/>
  <c r="I10" i="7"/>
  <c r="I9" i="7"/>
  <c r="K10" i="7"/>
  <c r="J6" i="7"/>
  <c r="K9" i="7"/>
  <c r="I31" i="7"/>
  <c r="I42" i="7"/>
  <c r="H10" i="7"/>
  <c r="J5" i="7"/>
  <c r="J52" i="7" s="1"/>
  <c r="L5" i="7"/>
  <c r="L52" i="7" s="1"/>
  <c r="L6" i="7"/>
  <c r="F7" i="7"/>
  <c r="H31" i="7"/>
  <c r="H42" i="7"/>
  <c r="J10" i="7"/>
  <c r="K5" i="7"/>
  <c r="K52" i="7" s="1"/>
  <c r="J42" i="7"/>
  <c r="I5" i="7"/>
  <c r="I52" i="7" s="1"/>
  <c r="H5" i="7"/>
  <c r="H7" i="7" s="1"/>
  <c r="J9" i="7"/>
  <c r="J31" i="7"/>
  <c r="G11" i="7"/>
  <c r="L10" i="7"/>
  <c r="L9" i="7"/>
  <c r="M4" i="7"/>
  <c r="D36" i="7"/>
  <c r="D41" i="7"/>
  <c r="D43" i="7" s="1"/>
  <c r="D30" i="7"/>
  <c r="D32" i="7" s="1"/>
  <c r="H13" i="7"/>
  <c r="G14" i="7"/>
  <c r="C41" i="7"/>
  <c r="C43" i="7" s="1"/>
  <c r="G13" i="9"/>
  <c r="F14" i="9"/>
  <c r="B15" i="7"/>
  <c r="C30" i="7"/>
  <c r="C32" i="7" s="1"/>
  <c r="B41" i="7"/>
  <c r="B30" i="7"/>
  <c r="B46" i="7"/>
  <c r="D6" i="2"/>
  <c r="D9" i="2" s="1"/>
  <c r="D10" i="2"/>
  <c r="H6" i="2"/>
  <c r="G6" i="2"/>
  <c r="F10" i="2"/>
  <c r="E6" i="2"/>
  <c r="E9" i="2" s="1"/>
  <c r="E10" i="2"/>
  <c r="B33" i="2"/>
  <c r="M10" i="4"/>
  <c r="E9" i="4"/>
  <c r="E11" i="4" s="1"/>
  <c r="E31" i="4"/>
  <c r="I30" i="4"/>
  <c r="I31" i="4" s="1"/>
  <c r="K9" i="4"/>
  <c r="K11" i="4" s="1"/>
  <c r="K31" i="4"/>
  <c r="I9" i="4"/>
  <c r="I11" i="4" s="1"/>
  <c r="C9" i="4"/>
  <c r="C11" i="4" s="1"/>
  <c r="G30" i="4"/>
  <c r="G31" i="4" s="1"/>
  <c r="C31" i="4"/>
  <c r="L9" i="4"/>
  <c r="L11" i="4" s="1"/>
  <c r="L31" i="4"/>
  <c r="F9" i="4"/>
  <c r="F11" i="4" s="1"/>
  <c r="F31" i="4"/>
  <c r="J30" i="4"/>
  <c r="J31" i="4" s="1"/>
  <c r="B9" i="4"/>
  <c r="B31" i="4"/>
  <c r="B41" i="4" s="1"/>
  <c r="G9" i="4"/>
  <c r="G11" i="4" s="1"/>
  <c r="D9" i="4"/>
  <c r="D11" i="4" s="1"/>
  <c r="D31" i="4"/>
  <c r="H30" i="4"/>
  <c r="H31" i="4" s="1"/>
  <c r="H9" i="4"/>
  <c r="H11" i="4" s="1"/>
  <c r="J9" i="4"/>
  <c r="J11" i="4" s="1"/>
  <c r="J7" i="2"/>
  <c r="I7" i="2"/>
  <c r="L7" i="2"/>
  <c r="G7" i="2"/>
  <c r="K7" i="2"/>
  <c r="H7" i="2"/>
  <c r="B6" i="2"/>
  <c r="B9" i="2" s="1"/>
  <c r="I6" i="2"/>
  <c r="J6" i="2"/>
  <c r="K6" i="2"/>
  <c r="L6" i="2"/>
  <c r="F6" i="2"/>
  <c r="F9" i="2" s="1"/>
  <c r="C44" i="2"/>
  <c r="C33" i="2"/>
  <c r="G33" i="2"/>
  <c r="G44" i="2"/>
  <c r="I44" i="2"/>
  <c r="I33" i="2"/>
  <c r="D33" i="2"/>
  <c r="D44" i="2"/>
  <c r="H33" i="2"/>
  <c r="H44" i="2"/>
  <c r="M4" i="2"/>
  <c r="L33" i="2"/>
  <c r="L44" i="2"/>
  <c r="B44" i="2"/>
  <c r="J44" i="2"/>
  <c r="J33" i="2"/>
  <c r="E44" i="2"/>
  <c r="E33" i="2"/>
  <c r="K44" i="2"/>
  <c r="K33" i="2"/>
  <c r="F33" i="2"/>
  <c r="F44" i="2"/>
  <c r="F5" i="2"/>
  <c r="F54" i="2" s="1"/>
  <c r="G5" i="2"/>
  <c r="G54" i="2" s="1"/>
  <c r="H5" i="2"/>
  <c r="H54" i="2" s="1"/>
  <c r="I5" i="2"/>
  <c r="I54" i="2" s="1"/>
  <c r="J5" i="2"/>
  <c r="J54" i="2" s="1"/>
  <c r="M5" i="4"/>
  <c r="C5" i="2"/>
  <c r="B5" i="2"/>
  <c r="D5" i="2"/>
  <c r="D54" i="2" s="1"/>
  <c r="K5" i="2"/>
  <c r="E5" i="2"/>
  <c r="E54" i="2" s="1"/>
  <c r="L5" i="2"/>
  <c r="M55" i="4"/>
  <c r="F15" i="10" a="1"/>
  <c r="H49" i="7" l="1"/>
  <c r="F49" i="7"/>
  <c r="G49" i="7"/>
  <c r="M42" i="7"/>
  <c r="B43" i="7"/>
  <c r="B50" i="7" s="1"/>
  <c r="F47" i="7"/>
  <c r="H47" i="7"/>
  <c r="K4" i="9"/>
  <c r="E47" i="7"/>
  <c r="G47" i="7"/>
  <c r="F43" i="9"/>
  <c r="B37" i="7"/>
  <c r="E35" i="7"/>
  <c r="B5" i="9"/>
  <c r="H6" i="9" s="1"/>
  <c r="B9" i="9"/>
  <c r="B43" i="9"/>
  <c r="D5" i="9"/>
  <c r="D7" i="9" s="1"/>
  <c r="G32" i="9"/>
  <c r="L4" i="9"/>
  <c r="M4" i="9" s="1"/>
  <c r="G10" i="9"/>
  <c r="G11" i="9" s="1"/>
  <c r="G43" i="9"/>
  <c r="H4" i="9"/>
  <c r="J4" i="9"/>
  <c r="C32" i="9"/>
  <c r="I4" i="9"/>
  <c r="C10" i="9"/>
  <c r="G41" i="4"/>
  <c r="F9" i="9"/>
  <c r="F11" i="9" s="1"/>
  <c r="C9" i="9"/>
  <c r="C5" i="9"/>
  <c r="C7" i="9" s="1"/>
  <c r="B10" i="9"/>
  <c r="B32" i="9"/>
  <c r="F32" i="9"/>
  <c r="C41" i="4"/>
  <c r="G5" i="9"/>
  <c r="G7" i="9" s="1"/>
  <c r="F5" i="9"/>
  <c r="F7" i="9" s="1"/>
  <c r="E32" i="9"/>
  <c r="E9" i="9"/>
  <c r="E43" i="9"/>
  <c r="E10" i="9"/>
  <c r="J41" i="4"/>
  <c r="F41" i="4"/>
  <c r="G38" i="7"/>
  <c r="F38" i="7"/>
  <c r="E38" i="7"/>
  <c r="H41" i="4"/>
  <c r="D41" i="4"/>
  <c r="L41" i="4"/>
  <c r="I41" i="4"/>
  <c r="H38" i="7"/>
  <c r="K41" i="4"/>
  <c r="E41" i="4"/>
  <c r="F46" i="7"/>
  <c r="H46" i="7"/>
  <c r="G46" i="7"/>
  <c r="E46" i="7"/>
  <c r="F15" i="7"/>
  <c r="E15" i="7"/>
  <c r="D15" i="7"/>
  <c r="K6" i="9"/>
  <c r="E7" i="9"/>
  <c r="D11" i="9"/>
  <c r="M55" i="2"/>
  <c r="G36" i="7"/>
  <c r="E41" i="7"/>
  <c r="E43" i="7" s="1"/>
  <c r="E30" i="7"/>
  <c r="E32" i="7" s="1"/>
  <c r="E36" i="7"/>
  <c r="K11" i="7"/>
  <c r="H11" i="7"/>
  <c r="I11" i="7"/>
  <c r="M31" i="7"/>
  <c r="G35" i="7"/>
  <c r="F41" i="7"/>
  <c r="F43" i="7" s="1"/>
  <c r="G41" i="7"/>
  <c r="G43" i="7" s="1"/>
  <c r="G30" i="7"/>
  <c r="G32" i="7" s="1"/>
  <c r="F36" i="7"/>
  <c r="F35" i="7"/>
  <c r="I7" i="7"/>
  <c r="I49" i="7" s="1"/>
  <c r="F30" i="7"/>
  <c r="F32" i="7" s="1"/>
  <c r="J7" i="7"/>
  <c r="M9" i="7"/>
  <c r="L7" i="7"/>
  <c r="J11" i="7"/>
  <c r="K7" i="7"/>
  <c r="G15" i="7"/>
  <c r="M10" i="7"/>
  <c r="H52" i="7"/>
  <c r="M52" i="7" s="1"/>
  <c r="M5" i="7"/>
  <c r="L11" i="7"/>
  <c r="D50" i="7"/>
  <c r="C39" i="7"/>
  <c r="J52" i="4"/>
  <c r="C50" i="7"/>
  <c r="K52" i="4"/>
  <c r="H52" i="4"/>
  <c r="D39" i="7"/>
  <c r="D52" i="4"/>
  <c r="L52" i="4"/>
  <c r="I52" i="4"/>
  <c r="H35" i="7"/>
  <c r="E52" i="4"/>
  <c r="C52" i="4"/>
  <c r="F52" i="4"/>
  <c r="B52" i="4"/>
  <c r="G52" i="4"/>
  <c r="J9" i="2"/>
  <c r="J11" i="2" s="1"/>
  <c r="J15" i="2" s="1"/>
  <c r="L9" i="2"/>
  <c r="L11" i="2" s="1"/>
  <c r="L15" i="2" s="1"/>
  <c r="K9" i="2"/>
  <c r="K11" i="2" s="1"/>
  <c r="K15" i="2" s="1"/>
  <c r="B48" i="7"/>
  <c r="D37" i="7"/>
  <c r="C37" i="7"/>
  <c r="H13" i="9"/>
  <c r="G14" i="9"/>
  <c r="I13" i="7"/>
  <c r="H14" i="7"/>
  <c r="D48" i="7"/>
  <c r="B11" i="2"/>
  <c r="B15" i="2" s="1"/>
  <c r="B32" i="7"/>
  <c r="B39" i="7" s="1"/>
  <c r="C48" i="7"/>
  <c r="H41" i="7"/>
  <c r="H43" i="7" s="1"/>
  <c r="H30" i="7"/>
  <c r="H32" i="7" s="1"/>
  <c r="H36" i="7"/>
  <c r="I9" i="2"/>
  <c r="I11" i="2" s="1"/>
  <c r="I15" i="2" s="1"/>
  <c r="L44" i="4"/>
  <c r="L46" i="4" s="1"/>
  <c r="L50" i="4"/>
  <c r="L49" i="4"/>
  <c r="E44" i="4"/>
  <c r="E46" i="4" s="1"/>
  <c r="E50" i="4"/>
  <c r="E49" i="4"/>
  <c r="C49" i="4"/>
  <c r="C44" i="4"/>
  <c r="C46" i="4" s="1"/>
  <c r="C50" i="4"/>
  <c r="B30" i="2"/>
  <c r="B40" i="2" s="1"/>
  <c r="B54" i="2"/>
  <c r="G50" i="4"/>
  <c r="G49" i="4"/>
  <c r="L30" i="2"/>
  <c r="L54" i="2"/>
  <c r="J44" i="4"/>
  <c r="J46" i="4" s="1"/>
  <c r="J50" i="4"/>
  <c r="J49" i="4"/>
  <c r="B11" i="4"/>
  <c r="M11" i="4" s="1"/>
  <c r="M9" i="4"/>
  <c r="H50" i="4"/>
  <c r="H44" i="4"/>
  <c r="H46" i="4" s="1"/>
  <c r="H49" i="4"/>
  <c r="C30" i="2"/>
  <c r="C54" i="2"/>
  <c r="I50" i="4"/>
  <c r="I44" i="4"/>
  <c r="I46" i="4" s="1"/>
  <c r="I49" i="4"/>
  <c r="B49" i="4"/>
  <c r="B44" i="4"/>
  <c r="B46" i="4" s="1"/>
  <c r="B50" i="4"/>
  <c r="K30" i="2"/>
  <c r="K54" i="2"/>
  <c r="F44" i="4"/>
  <c r="F46" i="4" s="1"/>
  <c r="F50" i="4"/>
  <c r="F49" i="4"/>
  <c r="G44" i="4"/>
  <c r="G46" i="4" s="1"/>
  <c r="K44" i="4"/>
  <c r="K46" i="4" s="1"/>
  <c r="K50" i="4"/>
  <c r="K49" i="4"/>
  <c r="D44" i="4"/>
  <c r="D46" i="4" s="1"/>
  <c r="D50" i="4"/>
  <c r="D49" i="4"/>
  <c r="M34" i="4"/>
  <c r="I33" i="4"/>
  <c r="I35" i="4" s="1"/>
  <c r="I39" i="4"/>
  <c r="I38" i="4"/>
  <c r="G39" i="4"/>
  <c r="G38" i="4"/>
  <c r="J33" i="4"/>
  <c r="J35" i="4" s="1"/>
  <c r="J39" i="4"/>
  <c r="J38" i="4"/>
  <c r="F39" i="4"/>
  <c r="G33" i="4"/>
  <c r="G35" i="4" s="1"/>
  <c r="F33" i="4"/>
  <c r="F35" i="4" s="1"/>
  <c r="F38" i="4"/>
  <c r="L39" i="4"/>
  <c r="L38" i="4"/>
  <c r="L33" i="4"/>
  <c r="L35" i="4" s="1"/>
  <c r="C39" i="4"/>
  <c r="C38" i="4"/>
  <c r="C33" i="4"/>
  <c r="C35" i="4" s="1"/>
  <c r="E33" i="4"/>
  <c r="E35" i="4" s="1"/>
  <c r="E39" i="4"/>
  <c r="E38" i="4"/>
  <c r="B33" i="4"/>
  <c r="B39" i="4"/>
  <c r="B38" i="4"/>
  <c r="H33" i="4"/>
  <c r="H35" i="4" s="1"/>
  <c r="H39" i="4"/>
  <c r="H38" i="4"/>
  <c r="D39" i="4"/>
  <c r="D33" i="4"/>
  <c r="D35" i="4" s="1"/>
  <c r="D38" i="4"/>
  <c r="K38" i="4"/>
  <c r="K33" i="4"/>
  <c r="K35" i="4" s="1"/>
  <c r="K39" i="4"/>
  <c r="M31" i="4"/>
  <c r="H9" i="2"/>
  <c r="H11" i="2" s="1"/>
  <c r="H15" i="2" s="1"/>
  <c r="G9" i="2"/>
  <c r="G11" i="2" s="1"/>
  <c r="G15" i="2" s="1"/>
  <c r="M33" i="2"/>
  <c r="I29" i="2"/>
  <c r="I30" i="2" s="1"/>
  <c r="E30" i="2"/>
  <c r="H29" i="2"/>
  <c r="H30" i="2" s="1"/>
  <c r="D30" i="2"/>
  <c r="G29" i="2"/>
  <c r="G30" i="2" s="1"/>
  <c r="J29" i="2"/>
  <c r="J30" i="2" s="1"/>
  <c r="F30" i="2"/>
  <c r="D11" i="2"/>
  <c r="D15" i="2" s="1"/>
  <c r="M10" i="2"/>
  <c r="D15" i="4"/>
  <c r="J15" i="4"/>
  <c r="C15" i="4"/>
  <c r="G15" i="4"/>
  <c r="E15" i="4"/>
  <c r="F15" i="4"/>
  <c r="I15" i="4"/>
  <c r="H15" i="4"/>
  <c r="K15" i="4"/>
  <c r="L15" i="4"/>
  <c r="F11" i="2"/>
  <c r="F15" i="2" s="1"/>
  <c r="C11" i="2"/>
  <c r="M5" i="2"/>
  <c r="E11" i="2"/>
  <c r="E15" i="2" s="1"/>
  <c r="D12" i="10" a="1"/>
  <c r="A6" i="10" a="1"/>
  <c r="F12" i="10" a="1"/>
  <c r="G12" i="10" a="1"/>
  <c r="G15" i="10" a="1"/>
  <c r="E50" i="9" l="1"/>
  <c r="F50" i="9"/>
  <c r="K49" i="7"/>
  <c r="L49" i="7"/>
  <c r="G50" i="9"/>
  <c r="J49" i="7"/>
  <c r="D50" i="9"/>
  <c r="K5" i="9"/>
  <c r="K53" i="9" s="1"/>
  <c r="K43" i="9"/>
  <c r="K10" i="9"/>
  <c r="K32" i="9"/>
  <c r="K9" i="9"/>
  <c r="B7" i="9"/>
  <c r="F48" i="9"/>
  <c r="J47" i="7"/>
  <c r="G48" i="9"/>
  <c r="I47" i="7"/>
  <c r="B53" i="9"/>
  <c r="C48" i="9"/>
  <c r="D48" i="9"/>
  <c r="E48" i="9"/>
  <c r="K47" i="7"/>
  <c r="H5" i="9"/>
  <c r="H53" i="9" s="1"/>
  <c r="B11" i="9"/>
  <c r="D53" i="9"/>
  <c r="L47" i="7"/>
  <c r="L36" i="7"/>
  <c r="J6" i="9"/>
  <c r="L10" i="9"/>
  <c r="C11" i="9"/>
  <c r="C15" i="9" s="1"/>
  <c r="L5" i="9"/>
  <c r="L32" i="9"/>
  <c r="H9" i="9"/>
  <c r="J43" i="9"/>
  <c r="J32" i="9"/>
  <c r="L43" i="9"/>
  <c r="J10" i="9"/>
  <c r="L9" i="9"/>
  <c r="H43" i="9"/>
  <c r="I9" i="9"/>
  <c r="I32" i="9"/>
  <c r="I5" i="9"/>
  <c r="I53" i="9" s="1"/>
  <c r="I43" i="9"/>
  <c r="C53" i="9"/>
  <c r="I6" i="9"/>
  <c r="H10" i="9"/>
  <c r="H32" i="9"/>
  <c r="J5" i="9"/>
  <c r="F53" i="9"/>
  <c r="I10" i="9"/>
  <c r="J9" i="9"/>
  <c r="L6" i="9"/>
  <c r="G53" i="9"/>
  <c r="E11" i="9"/>
  <c r="E15" i="9" s="1"/>
  <c r="D39" i="9"/>
  <c r="F39" i="9"/>
  <c r="E39" i="9"/>
  <c r="L38" i="7"/>
  <c r="C40" i="2"/>
  <c r="I38" i="7"/>
  <c r="G39" i="9"/>
  <c r="K38" i="7"/>
  <c r="J38" i="7"/>
  <c r="C37" i="9"/>
  <c r="E48" i="7"/>
  <c r="F48" i="7"/>
  <c r="F15" i="9"/>
  <c r="D15" i="9"/>
  <c r="L46" i="7"/>
  <c r="F47" i="9"/>
  <c r="J36" i="7"/>
  <c r="J46" i="7"/>
  <c r="G50" i="7"/>
  <c r="D36" i="9"/>
  <c r="D47" i="9"/>
  <c r="K46" i="7"/>
  <c r="I41" i="7"/>
  <c r="I43" i="7" s="1"/>
  <c r="I46" i="7"/>
  <c r="E47" i="9"/>
  <c r="G37" i="9"/>
  <c r="G47" i="9"/>
  <c r="G37" i="7"/>
  <c r="F37" i="9"/>
  <c r="G42" i="9"/>
  <c r="G44" i="9" s="1"/>
  <c r="G31" i="9"/>
  <c r="G33" i="9" s="1"/>
  <c r="G48" i="7"/>
  <c r="G36" i="9"/>
  <c r="F36" i="9"/>
  <c r="G15" i="9"/>
  <c r="E50" i="7"/>
  <c r="E37" i="9"/>
  <c r="F31" i="9"/>
  <c r="F33" i="9" s="1"/>
  <c r="F42" i="9"/>
  <c r="F44" i="9" s="1"/>
  <c r="E39" i="7"/>
  <c r="E37" i="7"/>
  <c r="E42" i="9"/>
  <c r="E44" i="9" s="1"/>
  <c r="D42" i="9"/>
  <c r="D44" i="9" s="1"/>
  <c r="D37" i="9"/>
  <c r="E36" i="9"/>
  <c r="E31" i="9"/>
  <c r="E33" i="9" s="1"/>
  <c r="I36" i="7"/>
  <c r="D31" i="9"/>
  <c r="D33" i="9" s="1"/>
  <c r="L30" i="7"/>
  <c r="L32" i="7" s="1"/>
  <c r="L35" i="7"/>
  <c r="L41" i="7"/>
  <c r="L43" i="7" s="1"/>
  <c r="G39" i="7"/>
  <c r="F50" i="7"/>
  <c r="H15" i="7"/>
  <c r="F37" i="7"/>
  <c r="F39" i="7"/>
  <c r="K41" i="7"/>
  <c r="K43" i="7" s="1"/>
  <c r="J30" i="7"/>
  <c r="J32" i="7" s="1"/>
  <c r="K30" i="7"/>
  <c r="K32" i="7" s="1"/>
  <c r="J41" i="7"/>
  <c r="J43" i="7" s="1"/>
  <c r="I30" i="7"/>
  <c r="I32" i="7" s="1"/>
  <c r="K35" i="7"/>
  <c r="J35" i="7"/>
  <c r="M11" i="7"/>
  <c r="I35" i="7"/>
  <c r="K36" i="7"/>
  <c r="C42" i="4"/>
  <c r="H37" i="7"/>
  <c r="F42" i="4"/>
  <c r="I53" i="4"/>
  <c r="H39" i="7"/>
  <c r="E51" i="2"/>
  <c r="B53" i="4"/>
  <c r="C53" i="4"/>
  <c r="L42" i="4"/>
  <c r="H50" i="7"/>
  <c r="H42" i="4"/>
  <c r="F51" i="2"/>
  <c r="K51" i="2"/>
  <c r="E53" i="4"/>
  <c r="I42" i="4"/>
  <c r="M41" i="4"/>
  <c r="E42" i="4"/>
  <c r="B51" i="2"/>
  <c r="I40" i="2"/>
  <c r="I51" i="2"/>
  <c r="C51" i="2"/>
  <c r="J51" i="2"/>
  <c r="L53" i="4"/>
  <c r="H53" i="4"/>
  <c r="J42" i="4"/>
  <c r="G51" i="2"/>
  <c r="L51" i="2"/>
  <c r="D42" i="4"/>
  <c r="K42" i="4"/>
  <c r="J53" i="4"/>
  <c r="F53" i="4"/>
  <c r="G42" i="4"/>
  <c r="M52" i="4"/>
  <c r="D53" i="4"/>
  <c r="K53" i="4"/>
  <c r="D51" i="2"/>
  <c r="H51" i="2"/>
  <c r="G53" i="4"/>
  <c r="F40" i="2"/>
  <c r="J40" i="2"/>
  <c r="G40" i="2"/>
  <c r="D40" i="2"/>
  <c r="L40" i="2"/>
  <c r="H40" i="2"/>
  <c r="E40" i="2"/>
  <c r="K49" i="2"/>
  <c r="K40" i="2"/>
  <c r="B49" i="2"/>
  <c r="C37" i="2"/>
  <c r="M54" i="2"/>
  <c r="D32" i="2"/>
  <c r="D34" i="2" s="1"/>
  <c r="K38" i="2"/>
  <c r="E40" i="4"/>
  <c r="G40" i="4"/>
  <c r="J51" i="4"/>
  <c r="E51" i="4"/>
  <c r="B40" i="4"/>
  <c r="J40" i="4"/>
  <c r="G51" i="4"/>
  <c r="J13" i="7"/>
  <c r="I14" i="7"/>
  <c r="C51" i="4"/>
  <c r="H48" i="7"/>
  <c r="L43" i="2"/>
  <c r="L45" i="2" s="1"/>
  <c r="I13" i="9"/>
  <c r="H14" i="9"/>
  <c r="B48" i="2"/>
  <c r="B38" i="2"/>
  <c r="L32" i="2"/>
  <c r="L34" i="2" s="1"/>
  <c r="H51" i="4"/>
  <c r="I43" i="2"/>
  <c r="I45" i="2" s="1"/>
  <c r="L51" i="4"/>
  <c r="H40" i="4"/>
  <c r="I40" i="4"/>
  <c r="K51" i="4"/>
  <c r="C32" i="2"/>
  <c r="B15" i="4"/>
  <c r="F51" i="4"/>
  <c r="L48" i="2"/>
  <c r="B51" i="4"/>
  <c r="M46" i="4"/>
  <c r="K40" i="4"/>
  <c r="I51" i="4"/>
  <c r="L37" i="2"/>
  <c r="L38" i="2"/>
  <c r="M9" i="2"/>
  <c r="L49" i="2"/>
  <c r="L40" i="4"/>
  <c r="D51" i="4"/>
  <c r="B37" i="2"/>
  <c r="B43" i="2"/>
  <c r="B45" i="2" s="1"/>
  <c r="B32" i="2"/>
  <c r="B34" i="2" s="1"/>
  <c r="G43" i="2"/>
  <c r="G45" i="2" s="1"/>
  <c r="F40" i="4"/>
  <c r="B35" i="4"/>
  <c r="B42" i="4" s="1"/>
  <c r="M33" i="4"/>
  <c r="D40" i="4"/>
  <c r="C40" i="4"/>
  <c r="J43" i="2"/>
  <c r="J45" i="2" s="1"/>
  <c r="G37" i="2"/>
  <c r="H43" i="2"/>
  <c r="H45" i="2" s="1"/>
  <c r="K43" i="2"/>
  <c r="K45" i="2" s="1"/>
  <c r="D37" i="2"/>
  <c r="H37" i="2"/>
  <c r="E37" i="2"/>
  <c r="I37" i="2"/>
  <c r="F37" i="2"/>
  <c r="J37" i="2"/>
  <c r="K37" i="2"/>
  <c r="K32" i="2"/>
  <c r="K34" i="2" s="1"/>
  <c r="G38" i="2"/>
  <c r="G49" i="2"/>
  <c r="G48" i="2"/>
  <c r="M30" i="2"/>
  <c r="C49" i="2"/>
  <c r="C43" i="2"/>
  <c r="C45" i="2" s="1"/>
  <c r="C38" i="2"/>
  <c r="C48" i="2"/>
  <c r="J32" i="2"/>
  <c r="J34" i="2" s="1"/>
  <c r="J49" i="2"/>
  <c r="J38" i="2"/>
  <c r="J48" i="2"/>
  <c r="D49" i="2"/>
  <c r="D43" i="2"/>
  <c r="D45" i="2" s="1"/>
  <c r="D38" i="2"/>
  <c r="D48" i="2"/>
  <c r="H38" i="2"/>
  <c r="H49" i="2"/>
  <c r="H32" i="2"/>
  <c r="H34" i="2" s="1"/>
  <c r="H48" i="2"/>
  <c r="G32" i="2"/>
  <c r="G34" i="2" s="1"/>
  <c r="F38" i="2"/>
  <c r="F49" i="2"/>
  <c r="F43" i="2"/>
  <c r="F45" i="2" s="1"/>
  <c r="F32" i="2"/>
  <c r="F34" i="2" s="1"/>
  <c r="F48" i="2"/>
  <c r="E32" i="2"/>
  <c r="E34" i="2" s="1"/>
  <c r="E49" i="2"/>
  <c r="E43" i="2"/>
  <c r="E45" i="2" s="1"/>
  <c r="E38" i="2"/>
  <c r="E48" i="2"/>
  <c r="I32" i="2"/>
  <c r="I34" i="2" s="1"/>
  <c r="I38" i="2"/>
  <c r="I49" i="2"/>
  <c r="I48" i="2"/>
  <c r="K48" i="2"/>
  <c r="C15" i="2"/>
  <c r="M11" i="2"/>
  <c r="B12" i="10" a="1"/>
  <c r="C12" i="10" a="1"/>
  <c r="F14" i="10" a="1"/>
  <c r="H15" i="10" a="1"/>
  <c r="E14" i="10" a="1"/>
  <c r="D14" i="10" a="1"/>
  <c r="E12" i="10" a="1"/>
  <c r="G14" i="10" a="1"/>
  <c r="B47" i="9" l="1"/>
  <c r="B50" i="9"/>
  <c r="C50" i="9"/>
  <c r="K7" i="9"/>
  <c r="B42" i="9"/>
  <c r="B44" i="9" s="1"/>
  <c r="H7" i="9"/>
  <c r="K11" i="9"/>
  <c r="B37" i="9"/>
  <c r="C39" i="9"/>
  <c r="B39" i="9"/>
  <c r="C47" i="9"/>
  <c r="C49" i="9" s="1"/>
  <c r="B48" i="9"/>
  <c r="B31" i="9"/>
  <c r="B33" i="9" s="1"/>
  <c r="B36" i="9"/>
  <c r="C42" i="9"/>
  <c r="C44" i="9" s="1"/>
  <c r="C31" i="9"/>
  <c r="C33" i="9" s="1"/>
  <c r="C36" i="9"/>
  <c r="C38" i="9" s="1"/>
  <c r="M47" i="7"/>
  <c r="M41" i="7"/>
  <c r="L48" i="7"/>
  <c r="M46" i="7"/>
  <c r="B15" i="9"/>
  <c r="L7" i="9"/>
  <c r="J7" i="9"/>
  <c r="L11" i="9"/>
  <c r="I7" i="9"/>
  <c r="I11" i="9"/>
  <c r="H11" i="9"/>
  <c r="H15" i="9" s="1"/>
  <c r="J37" i="7"/>
  <c r="J53" i="9"/>
  <c r="L53" i="9"/>
  <c r="M53" i="9"/>
  <c r="J11" i="9"/>
  <c r="I15" i="7"/>
  <c r="M32" i="9"/>
  <c r="M10" i="9"/>
  <c r="M9" i="9"/>
  <c r="M5" i="9"/>
  <c r="G49" i="9"/>
  <c r="G38" i="9"/>
  <c r="F49" i="9"/>
  <c r="D38" i="9"/>
  <c r="I50" i="7"/>
  <c r="G40" i="9"/>
  <c r="L50" i="7"/>
  <c r="F38" i="9"/>
  <c r="F40" i="9"/>
  <c r="F51" i="9"/>
  <c r="D40" i="9"/>
  <c r="G51" i="9"/>
  <c r="L37" i="7"/>
  <c r="E38" i="9"/>
  <c r="E51" i="9"/>
  <c r="I48" i="7"/>
  <c r="K50" i="7"/>
  <c r="E49" i="9"/>
  <c r="D49" i="9"/>
  <c r="E40" i="9"/>
  <c r="I37" i="7"/>
  <c r="D51" i="9"/>
  <c r="M43" i="7"/>
  <c r="J48" i="7"/>
  <c r="K52" i="2"/>
  <c r="K37" i="7"/>
  <c r="J39" i="7"/>
  <c r="C39" i="2"/>
  <c r="K39" i="7"/>
  <c r="M32" i="7"/>
  <c r="J50" i="7"/>
  <c r="M49" i="7"/>
  <c r="I39" i="7"/>
  <c r="M30" i="7"/>
  <c r="K48" i="7"/>
  <c r="M38" i="7"/>
  <c r="L39" i="7"/>
  <c r="F41" i="2"/>
  <c r="F52" i="2"/>
  <c r="J41" i="2"/>
  <c r="H52" i="2"/>
  <c r="E52" i="2"/>
  <c r="M42" i="4"/>
  <c r="I41" i="2"/>
  <c r="J52" i="2"/>
  <c r="M53" i="4"/>
  <c r="D52" i="2"/>
  <c r="C52" i="2"/>
  <c r="I52" i="2"/>
  <c r="L52" i="2"/>
  <c r="B52" i="2"/>
  <c r="M51" i="2"/>
  <c r="G52" i="2"/>
  <c r="B50" i="2"/>
  <c r="G41" i="2"/>
  <c r="E41" i="2"/>
  <c r="K50" i="2"/>
  <c r="K41" i="2"/>
  <c r="H41" i="2"/>
  <c r="B41" i="2"/>
  <c r="M40" i="2"/>
  <c r="L41" i="2"/>
  <c r="D41" i="2"/>
  <c r="L50" i="2"/>
  <c r="K39" i="2"/>
  <c r="B39" i="2"/>
  <c r="J13" i="9"/>
  <c r="I14" i="9"/>
  <c r="K13" i="7"/>
  <c r="J14" i="7"/>
  <c r="C50" i="2"/>
  <c r="L39" i="2"/>
  <c r="M40" i="4"/>
  <c r="G39" i="2"/>
  <c r="H50" i="2"/>
  <c r="M51" i="4"/>
  <c r="E39" i="2"/>
  <c r="H39" i="2"/>
  <c r="I39" i="2"/>
  <c r="G50" i="2"/>
  <c r="D39" i="2"/>
  <c r="F50" i="2"/>
  <c r="E50" i="2"/>
  <c r="J39" i="2"/>
  <c r="F39" i="2"/>
  <c r="M32" i="2"/>
  <c r="D50" i="2"/>
  <c r="I50" i="2"/>
  <c r="J50" i="2"/>
  <c r="C34" i="2"/>
  <c r="M45" i="2"/>
  <c r="H14" i="10" a="1"/>
  <c r="K12" i="10" a="1"/>
  <c r="H12" i="10" a="1"/>
  <c r="G13" i="10" a="1"/>
  <c r="F13" i="10" a="1"/>
  <c r="I12" i="10" a="1"/>
  <c r="B14" i="10" a="1"/>
  <c r="C13" i="10" a="1"/>
  <c r="D13" i="10" a="1"/>
  <c r="E13" i="10" a="1"/>
  <c r="J12" i="10" a="1"/>
  <c r="I15" i="10" a="1"/>
  <c r="C14" i="10" a="1"/>
  <c r="L12" i="10" a="1"/>
  <c r="I50" i="9" l="1"/>
  <c r="H39" i="9"/>
  <c r="H50" i="9"/>
  <c r="B49" i="9"/>
  <c r="K48" i="9"/>
  <c r="K50" i="9"/>
  <c r="K31" i="9"/>
  <c r="K33" i="9" s="1"/>
  <c r="J50" i="9"/>
  <c r="L50" i="9"/>
  <c r="L31" i="9"/>
  <c r="L33" i="9" s="1"/>
  <c r="K37" i="9"/>
  <c r="H42" i="9"/>
  <c r="H44" i="9" s="1"/>
  <c r="B51" i="9"/>
  <c r="H48" i="9"/>
  <c r="C51" i="9"/>
  <c r="H31" i="9"/>
  <c r="H33" i="9" s="1"/>
  <c r="H37" i="9"/>
  <c r="H47" i="9"/>
  <c r="H36" i="9"/>
  <c r="B40" i="9"/>
  <c r="C40" i="9"/>
  <c r="B38" i="9"/>
  <c r="L47" i="9"/>
  <c r="J48" i="9"/>
  <c r="K39" i="9"/>
  <c r="L48" i="9"/>
  <c r="I48" i="9"/>
  <c r="K36" i="9"/>
  <c r="L39" i="9"/>
  <c r="L37" i="9"/>
  <c r="I15" i="9"/>
  <c r="I47" i="9"/>
  <c r="L36" i="9"/>
  <c r="K42" i="9"/>
  <c r="K44" i="9" s="1"/>
  <c r="J37" i="9"/>
  <c r="I42" i="9"/>
  <c r="I44" i="9" s="1"/>
  <c r="I31" i="9"/>
  <c r="I33" i="9" s="1"/>
  <c r="K47" i="9"/>
  <c r="J39" i="9"/>
  <c r="M39" i="7"/>
  <c r="L42" i="9"/>
  <c r="L44" i="9" s="1"/>
  <c r="I39" i="9"/>
  <c r="J31" i="9"/>
  <c r="J33" i="9" s="1"/>
  <c r="J42" i="9"/>
  <c r="J44" i="9" s="1"/>
  <c r="I37" i="9"/>
  <c r="J36" i="9"/>
  <c r="I36" i="9"/>
  <c r="J47" i="9"/>
  <c r="M11" i="9"/>
  <c r="J15" i="7"/>
  <c r="M50" i="7"/>
  <c r="M37" i="7"/>
  <c r="M48" i="7"/>
  <c r="M52" i="2"/>
  <c r="M34" i="2"/>
  <c r="C41" i="2"/>
  <c r="M41" i="2" s="1"/>
  <c r="K14" i="7"/>
  <c r="L13" i="7"/>
  <c r="K13" i="9"/>
  <c r="J14" i="9"/>
  <c r="M39" i="2"/>
  <c r="M50" i="2"/>
  <c r="I14" i="10" a="1"/>
  <c r="C6" i="10" a="1"/>
  <c r="B13" i="10" a="1"/>
  <c r="J15" i="10" a="1"/>
  <c r="L14" i="7" l="1"/>
  <c r="L15" i="7" s="1"/>
  <c r="M13" i="7"/>
  <c r="K49" i="9"/>
  <c r="H40" i="9"/>
  <c r="K40" i="9"/>
  <c r="H51" i="9"/>
  <c r="J15" i="9"/>
  <c r="L40" i="9"/>
  <c r="H49" i="9"/>
  <c r="K38" i="9"/>
  <c r="H38" i="9"/>
  <c r="K51" i="9"/>
  <c r="I51" i="9"/>
  <c r="M33" i="9"/>
  <c r="L49" i="9"/>
  <c r="L51" i="9"/>
  <c r="M50" i="9"/>
  <c r="J49" i="9"/>
  <c r="L38" i="9"/>
  <c r="I49" i="9"/>
  <c r="J40" i="9"/>
  <c r="J38" i="9"/>
  <c r="M39" i="9"/>
  <c r="J51" i="9"/>
  <c r="I38" i="9"/>
  <c r="I40" i="9"/>
  <c r="M44" i="9"/>
  <c r="M31" i="9"/>
  <c r="K15" i="7"/>
  <c r="L13" i="9"/>
  <c r="K14" i="9"/>
  <c r="K15" i="10" a="1"/>
  <c r="I13" i="10" a="1"/>
  <c r="J13" i="10" a="1"/>
  <c r="K13" i="10" a="1"/>
  <c r="H13" i="10" a="1"/>
  <c r="J14" i="10" a="1"/>
  <c r="L13" i="10" a="1"/>
  <c r="M14" i="7" l="1"/>
  <c r="M15" i="7" s="1"/>
  <c r="L14" i="9"/>
  <c r="L15" i="9" s="1"/>
  <c r="M13" i="9"/>
  <c r="K15" i="9"/>
  <c r="M51" i="9"/>
  <c r="M38" i="9"/>
  <c r="M40" i="9"/>
  <c r="M49" i="9"/>
  <c r="K14" i="10" a="1"/>
  <c r="L14" i="10" a="1"/>
  <c r="E6" i="10" a="1"/>
  <c r="L15" i="10" a="1"/>
  <c r="M14" i="9"/>
  <c r="G6" i="10" a="1"/>
  <c r="M15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<sst xmlns="http://schemas.openxmlformats.org/spreadsheetml/2006/main" count="1084" uniqueCount="345">
  <si>
    <t>SHS Integration Viability Model — Assumptions &amp; Parameters (v3)</t>
  </si>
  <si>
    <t>Parameter</t>
  </si>
  <si>
    <t>Kenya</t>
  </si>
  <si>
    <t>Zambia</t>
  </si>
  <si>
    <t>Source / Note</t>
  </si>
  <si>
    <t>Link</t>
  </si>
  <si>
    <t>1. DRE: https://dre.energydata.info/
2. GEP: https://electrifynow.energydata.info/</t>
  </si>
  <si>
    <t>Average household size — rural (persons/HH)</t>
  </si>
  <si>
    <t>GEP country-specific rural HH size assumptions: Kenya 3.5,  Zambia 5.3</t>
  </si>
  <si>
    <t>GEP SHS target households</t>
  </si>
  <si>
    <t>Derived</t>
  </si>
  <si>
    <t>GEP SHS new connections</t>
  </si>
  <si>
    <t>Methodology drawn from:
1. Energy Sector Management Assistance Program (ESMAP). Off-Grid Solar Market Trends Report 2024: Outlook. World Bank Group, 2024. https://www.esmap.org/Off-Grid_Solar_Market_Trends_Report_2024.
2. Hirmer, Stephanie, Yidan Kou, Pu Yang, Alycia Leonard, and Florian Egli. “Assessing Grid Affordability for Universal Electricity Access in Sub-Saharan Africa.” Preprint, In Review, June 3, 2025. https://doi.org/10.21203/rs.3.rs-6427206/v1.</t>
  </si>
  <si>
    <t>Derived : target HH* unaffordability rate</t>
  </si>
  <si>
    <t>SHS hardware cost per connection ($)</t>
  </si>
  <si>
    <t xml:space="preserve">KNES 2018 derived ($209/connection: $457.5M ÷ 2,179,730 SHS connections); REMP Zambia 2025 explicit $200/connection; GOGLA MTR 2024 rural PAYGo retail price $199. </t>
  </si>
  <si>
    <t>SHS retail price assumption</t>
  </si>
  <si>
    <t>3. MTR: https://www.esmap.org/Off-Grid_Solar_Market_Trends_Report_2024</t>
  </si>
  <si>
    <t>SECTION 0: Target Population</t>
  </si>
  <si>
    <t>SECTION 1: Cost of Service Assumptions</t>
  </si>
  <si>
    <t>Current WACC for SHS under status quo delivery</t>
  </si>
  <si>
    <t>Assumption for WACC for EaaS delivery</t>
  </si>
  <si>
    <t>Concession period (years)</t>
  </si>
  <si>
    <t xml:space="preserve">Morocco - 10 yrs, Zambia example 10 yrs, </t>
  </si>
  <si>
    <t>Derived, CRF=d(1+d)N(1+d)N−1</t>
  </si>
  <si>
    <t>https://www.sciencedirect.com/topics/engineering/capital-recovery-factor</t>
  </si>
  <si>
    <t>Derived: Capital Cost* Capital Recovery Annuity Factor</t>
  </si>
  <si>
    <t>Annual O&amp;M per HH ($/yr)</t>
  </si>
  <si>
    <t xml:space="preserve">Drawn from Agutu, WACC under different financing - selected niche </t>
  </si>
  <si>
    <t>https://www.nature.com/articles/s41560-022-01041-6</t>
  </si>
  <si>
    <t>SECTION 2: Recoverable Revenue Assumptions</t>
  </si>
  <si>
    <t>N/A</t>
  </si>
  <si>
    <t>Energy expenditure share — Scenario A (GOGLA ceiling)</t>
  </si>
  <si>
    <t>GOGLA MTR 2024 Annex 5: midpoint of 5–10% total energy budget share. Optimistic ceiling, assumes HH redirects full energy budget to electricity</t>
  </si>
  <si>
    <t xml:space="preserve">1. MTR: https://www.esmap.org/Off-Grid_Solar_Market_Trends_Report_2024
2. Hirmer, Stephanie, Yidan Kou, Pu Yang, Alycia Leonard, and Florian Egli. “Assessing Grid Affordability for Universal Electricity Access in Sub-Saharan Africa.” Preprint, In Review, June 3, 2025. https://doi.org/10.21203/rs.3.rs-6427206/v1.
</t>
  </si>
  <si>
    <t>Energy expenditure share — Scenario B (observed electricity spending)</t>
  </si>
  <si>
    <t>https://energyalliance.org/wp-content/uploads/2026/06/1.-Structuring-For-The-Last-Mile-Full-Report.pdf</t>
  </si>
  <si>
    <t>GEAPP 2026 Box 1 (Mugyenyi et al. Energy Policy Vol.198 2025; ESD Vol.90 2026): newly-connected rural HH spend 1–2% of expenditure on electricity. 1.5% midpoint. Realistic scenario, observed post-connection behaviour</t>
  </si>
  <si>
    <t>Affordable monthly tariff — Kenya Scenario A ($/month)</t>
  </si>
  <si>
    <t>Affordable monthly tariff — Kenya Scenario B ($/month)</t>
  </si>
  <si>
    <t>Affordable monthly tariff — Zambia Scenario A ($/month)</t>
  </si>
  <si>
    <t>Affordable monthly tariff — Zambia Scenario B ($/month)</t>
  </si>
  <si>
    <t>Collection rate</t>
  </si>
  <si>
    <t>Revenue growth rate</t>
  </si>
  <si>
    <t>From KPLC and ZESCO annual reports</t>
  </si>
  <si>
    <t>Kenya KPLC Annual Integrated Report 2025: https://www.kplc.co.ke/storage/01KB4JTB49DXJ81DG79JVEE0M3.pdf
ZESCO Annual Report 2025: https://www.zesco.co.zm/assets/documents/annual_reports/2025_ZESCO_Integrated_Report_Digital.pdf 
https://www.zesco.co.zm/investments#annual_reports</t>
  </si>
  <si>
    <t>Rural Electrification Levy</t>
  </si>
  <si>
    <t>From utility and rural electrification reports</t>
  </si>
  <si>
    <t>1. KPLC : Kenya KPLC Annual Integrated Report 2025: https://www.kplc.co.ke/storage/01KB4JTB49DXJ81DG79JVEE0M3.pdf
2. REA: https://www.rea.org.zm/wp-content/uploads/2026/06/REA-Annual-Report_2025_9-june-2026.pdf</t>
  </si>
  <si>
    <t xml:space="preserve">SHS Integration Viability Gap Model — Kenya </t>
  </si>
  <si>
    <t>Year</t>
  </si>
  <si>
    <t>Section 0: Target Population</t>
  </si>
  <si>
    <t>Upper Bound PAYGO affordability</t>
  </si>
  <si>
    <t>Lower Bound PAYGO affordability</t>
  </si>
  <si>
    <t>Upper Bound % of income</t>
  </si>
  <si>
    <t>SECTION 3: Scenario Modelling</t>
  </si>
  <si>
    <t>EaaS HH scenario model</t>
  </si>
  <si>
    <t>Income scenario model</t>
  </si>
  <si>
    <t>Active Kenya Population</t>
  </si>
  <si>
    <t>Active Kenya Income</t>
  </si>
  <si>
    <t>Active Zambia Population</t>
  </si>
  <si>
    <t>Active Zambia Income</t>
  </si>
  <si>
    <t>SHS ramp up</t>
  </si>
  <si>
    <t>t_mid</t>
  </si>
  <si>
    <t>k</t>
  </si>
  <si>
    <t>Recoverable revenue</t>
  </si>
  <si>
    <t>Viability Gap = COS-REV</t>
  </si>
  <si>
    <t>Section 1: Viability Gap Model</t>
  </si>
  <si>
    <t>Section 2: Rural Electrification Levy</t>
  </si>
  <si>
    <t>Exchange Rate USD</t>
  </si>
  <si>
    <t>https://www.oanda.com/currency-converter/en/?from=USD&amp;to=KES&amp;amount=1
https://www.oanda.com/currency-converter/en/?from=USD&amp;to=ZMW&amp;amount=1</t>
  </si>
  <si>
    <t>Levy</t>
  </si>
  <si>
    <t>Viability Gap as % of Levy</t>
  </si>
  <si>
    <t>Utility Revenue (USD)</t>
  </si>
  <si>
    <t>SECTION 3: Utility Information</t>
  </si>
  <si>
    <r>
      <rPr>
        <b/>
        <sz val="11"/>
        <color theme="1"/>
        <rFont val="Aptos Narrow"/>
        <family val="2"/>
        <scheme val="minor"/>
      </rPr>
      <t xml:space="preserve">KEN </t>
    </r>
    <r>
      <rPr>
        <sz val="11"/>
        <color theme="1"/>
        <rFont val="Aptos Narrow"/>
        <family val="2"/>
        <scheme val="minor"/>
      </rPr>
      <t xml:space="preserve">- https://energydata.info/dataset/kenya-global-electrification-platform-gep/resource/6c7d537a-9295-4577-95dc-5351ea31a2d0
</t>
    </r>
    <r>
      <rPr>
        <b/>
        <sz val="11"/>
        <color theme="1"/>
        <rFont val="Aptos Narrow"/>
        <family val="2"/>
        <scheme val="minor"/>
      </rPr>
      <t>ZMB</t>
    </r>
    <r>
      <rPr>
        <sz val="11"/>
        <color theme="1"/>
        <rFont val="Aptos Narrow"/>
        <family val="2"/>
        <scheme val="minor"/>
      </rPr>
      <t xml:space="preserve"> - https://energydata.info/dataset/zambia-global-electrification-platform-gep/resource/d3d2dbdd-2c95-4684-8059-f2c8154660e1</t>
    </r>
  </si>
  <si>
    <r>
      <rPr>
        <b/>
        <sz val="11"/>
        <color theme="1"/>
        <rFont val="Aptos Narrow"/>
        <family val="2"/>
        <scheme val="minor"/>
      </rPr>
      <t>1. KNES</t>
    </r>
    <r>
      <rPr>
        <sz val="11"/>
        <color theme="1"/>
        <rFont val="Aptos Narrow"/>
        <family val="2"/>
        <scheme val="minor"/>
      </rPr>
      <t xml:space="preserve">: https://www.seta-kenya.org/images/2023/KenyaNationalElectrificationStrategyKNESKeyHighlights2018.pdf
</t>
    </r>
    <r>
      <rPr>
        <b/>
        <sz val="11"/>
        <color theme="1"/>
        <rFont val="Aptos Narrow"/>
        <family val="2"/>
        <scheme val="minor"/>
      </rPr>
      <t>2. REMP</t>
    </r>
    <r>
      <rPr>
        <sz val="11"/>
        <color theme="1"/>
        <rFont val="Aptos Narrow"/>
        <family val="2"/>
        <scheme val="minor"/>
      </rPr>
      <t xml:space="preserve">: https://www.moe.gov.zm/wp-content/uploads/2026/04/RURAL-ELECTRIFICATION-MASTER-PLAN-2025-2030.pdf
</t>
    </r>
    <r>
      <rPr>
        <b/>
        <sz val="11"/>
        <color theme="1"/>
        <rFont val="Aptos Narrow"/>
        <family val="2"/>
        <scheme val="minor"/>
      </rPr>
      <t>3. MTR</t>
    </r>
    <r>
      <rPr>
        <sz val="11"/>
        <color theme="1"/>
        <rFont val="Aptos Narrow"/>
        <family val="2"/>
        <scheme val="minor"/>
      </rPr>
      <t xml:space="preserve">: https://www.esmap.org/Off-Grid_Solar_Market_Trends_Report_2024
</t>
    </r>
  </si>
  <si>
    <t>Number of planned Rural Grid Connections</t>
  </si>
  <si>
    <t>Number of Planned Rural SHS connections</t>
  </si>
  <si>
    <t>Cost per connection of planned Rural Grid Connections</t>
  </si>
  <si>
    <t>Cost per connection Rural SHS Connections</t>
  </si>
  <si>
    <t>No. Grid</t>
  </si>
  <si>
    <t>No. SHS</t>
  </si>
  <si>
    <t>Number of planned Rural Mini Grid Connections (HV)</t>
  </si>
  <si>
    <t>Number of planned Rural Mini Grid Connections (MV)</t>
  </si>
  <si>
    <t>Cost per connection Rural Mini Grid Connections (LV)</t>
  </si>
  <si>
    <t>Cost per connection Rural Mini Grid Connections (MV)</t>
  </si>
  <si>
    <t>No. Minigrid (MV)</t>
  </si>
  <si>
    <t>No. Minigrid (LV)</t>
  </si>
  <si>
    <t>Investment cost Grid</t>
  </si>
  <si>
    <t>Investment cost minigrid</t>
  </si>
  <si>
    <t>Investment cost SHS</t>
  </si>
  <si>
    <t>Total Costs</t>
  </si>
  <si>
    <t>Grid Access Public Financed</t>
  </si>
  <si>
    <t>Grid Access Private Financed</t>
  </si>
  <si>
    <t>Off-grid access private financed</t>
  </si>
  <si>
    <t>Off-grid access public financed</t>
  </si>
  <si>
    <r>
      <rPr>
        <sz val="11"/>
        <rFont val="Aptos Narrow"/>
        <family val="2"/>
        <scheme val="minor"/>
      </rPr>
      <t>1. Zambia Energy Compact:</t>
    </r>
    <r>
      <rPr>
        <u/>
        <sz val="11"/>
        <color theme="10"/>
        <rFont val="Aptos Narrow"/>
        <family val="2"/>
        <scheme val="minor"/>
      </rPr>
      <t xml:space="preserve"> https://www.worldbank.org/content/dam/theworldbankgroupasset/document/2026/m300-energy-compacts/Zambia-M300-AES-Compact.pdf
2. REMP: https://www.moe.gov.zm/wp-content/uploads/2026/04/RURAL-ELECTRIFICATION-MASTER-PLAN-2025-2030.pdf
3. Kenya Energy Compact: https://www.worldbank.org/content/dam/theworldbankgroupasset/document/2026/m300-energy-compacts/Kenya-National-Energy-Compact-Mission-300.pdf</t>
    </r>
  </si>
  <si>
    <t>PAYGo affordability rate (upper bound)</t>
  </si>
  <si>
    <t>PAYGo affordability rate (lower bound)</t>
  </si>
  <si>
    <t>SHS Integration Viability Gap Model — Zambia</t>
  </si>
  <si>
    <t>SECTION 4: Rural Electrification Planning in Compact</t>
  </si>
  <si>
    <t>Total Public Financed</t>
  </si>
  <si>
    <t>% shs</t>
  </si>
  <si>
    <t>Off grid public financed</t>
  </si>
  <si>
    <t>Offgrid Total Costs</t>
  </si>
  <si>
    <t>Section 3: Rural Electrification Planning</t>
  </si>
  <si>
    <t>Section 4: Grid Connection Premium</t>
  </si>
  <si>
    <t>Section 4: Grid Connection Comparison</t>
  </si>
  <si>
    <t>Annual CoS per HH  ( capital recovery + O&amp;M ($/yr))</t>
  </si>
  <si>
    <t>Annual CoS per HH  (capital recovery + O&amp;M ($/yr))</t>
  </si>
  <si>
    <t>Total</t>
  </si>
  <si>
    <t>Section 4: Comparing with PAYGO unsubsidised, PAYGO RBF</t>
  </si>
  <si>
    <t>Derived, assuming 2020 start</t>
  </si>
  <si>
    <t>PAYGO unsubsidised</t>
  </si>
  <si>
    <t>Annual COS per HH</t>
  </si>
  <si>
    <t>1. MTR: https://www.esmap.org/Off-Grid_Solar_Market_Trends_Report_2024</t>
  </si>
  <si>
    <t>PAYGO+RBF</t>
  </si>
  <si>
    <t>Typical RBF share of CAPEX</t>
  </si>
  <si>
    <t>Cumulative SHS connections persons (EaaS)</t>
  </si>
  <si>
    <t>New connections per year (EaaS</t>
  </si>
  <si>
    <t>PAYGO deposit % of cost</t>
  </si>
  <si>
    <t>PAYGO interest rate</t>
  </si>
  <si>
    <t>PAYGO  deposit gap</t>
  </si>
  <si>
    <t>Monthly instalment per HH</t>
  </si>
  <si>
    <t>Total Gap (Fiscal Burden)</t>
  </si>
  <si>
    <t>Affordable instalment per HH</t>
  </si>
  <si>
    <t>Annual shortfall from monthly pay</t>
  </si>
  <si>
    <t>PAYGO unsubsidised uprfont cost</t>
  </si>
  <si>
    <t>Total Gap (Potential Fiscal Burden)</t>
  </si>
  <si>
    <t>Capital Recovery</t>
  </si>
  <si>
    <t>O&amp;M</t>
  </si>
  <si>
    <t>Asset lifetime (Assets before 2025)</t>
  </si>
  <si>
    <t>Asset lifetime (Assets after 2025)</t>
  </si>
  <si>
    <t>Capital Recovery Annuity factor (WACC, asset life)_EaaS pre 2025</t>
  </si>
  <si>
    <t>Capital Recovery Annuity factor (WACC, asset life)_PAYGO pre 2025</t>
  </si>
  <si>
    <t>Capital Recovery Annuity factor (WACC, asset life)_EaaS post 2025</t>
  </si>
  <si>
    <t>Capital Recovery Annuity factor (WACC, asset life)_PAYGO post 2025</t>
  </si>
  <si>
    <t>Derived, CRF=d(1+d)N(1+d)N−2</t>
  </si>
  <si>
    <t>Derived, CRF=d(1+d)N(1+d)N−3</t>
  </si>
  <si>
    <t>Derived, CRF=d(1+d)N(1+d)N−4</t>
  </si>
  <si>
    <t>Annual capital recovery per HH ($/yr) asset life)_EaaS pre 2025</t>
  </si>
  <si>
    <t>Annual capital recovery per HH ($/yr) asset life)_EaaS post 2025</t>
  </si>
  <si>
    <t>Already Existing SHS 2025</t>
  </si>
  <si>
    <t>Replacement Connections</t>
  </si>
  <si>
    <t>Total Connections</t>
  </si>
  <si>
    <t>Cumulative pre 2025 vintage stock</t>
  </si>
  <si>
    <t>Cumulative post 2025 stock</t>
  </si>
  <si>
    <t>Offgrid public financed at rates in compact</t>
  </si>
  <si>
    <t>Total Public Financed at rates in compact</t>
  </si>
  <si>
    <t>PAYGO+RBF to subsidise upfront cost</t>
  </si>
  <si>
    <t>Section 4: Comparing with PAYGO unsubsidised, PAYGO RBF at market terms</t>
  </si>
  <si>
    <t>EaaS subsidy-needing households (upper bound, 2025)</t>
  </si>
  <si>
    <t>EaaS subsidy-needing households (lower bound, 2025)</t>
  </si>
  <si>
    <t>Active Kenya pop 2025</t>
  </si>
  <si>
    <t>Active Zambia pop 2025</t>
  </si>
  <si>
    <t>Total Connections this uear</t>
  </si>
  <si>
    <t>These are drawn from COMPACT and REMP plans, for Kenya, the 1,200,000 is drawn from its compact while for Zambia a hard 1.44 million target for 2030 from 2025 is drawn from REMP and compact</t>
  </si>
  <si>
    <t>Average monthly income of pop that cannot afford — Kenya ($/month)</t>
  </si>
  <si>
    <t>Average Monthly Income of pop that cannot afford — Zambia ($/month)</t>
  </si>
  <si>
    <t>Affordable monthly tariff — Kenya Scenario c ($/month)</t>
  </si>
  <si>
    <t>Energy expenditure share — Scenario C (observed electricity spending)</t>
  </si>
  <si>
    <t>Affordable monthly tariff — Zambia Scenario c ($/month)</t>
  </si>
  <si>
    <t>Market Revenue</t>
  </si>
  <si>
    <t>Operator Margin</t>
  </si>
  <si>
    <t>Avoided Cross Subsidy Burden</t>
  </si>
  <si>
    <t>2. Hirmer, Stephanie, Yidan Kou, Pu Yang, Alycia Leonard, and Florian Egli. “Assessing Grid Affordability for Universal Electricity Access in Sub-Saharan Africa.” Preprint, In Review, June 3, 2025. https://doi.org/10.21203/rs.3.rs-6427206/v1.</t>
  </si>
  <si>
    <t>Avoided cross subsidy burden</t>
  </si>
  <si>
    <t>Lifeline Tariff (local currency, kwh) 2025</t>
  </si>
  <si>
    <t>Lifeline Tariff (local currency, kwh) 2016</t>
  </si>
  <si>
    <t>Lifeline Tariff (local currency, kwh) 2017</t>
  </si>
  <si>
    <t>Lifeline Tariff (local currency, kwh) 2018</t>
  </si>
  <si>
    <t>Lifeline Tariff (local currency, kwh) 2019</t>
  </si>
  <si>
    <t>Lifeline Tariff (local currency, kwh) 2020</t>
  </si>
  <si>
    <t>Lifeline Tariff (local currency, kwh) 2021</t>
  </si>
  <si>
    <t>Lifeline Tariff (local currency, kwh) 2022</t>
  </si>
  <si>
    <t>Lifeline Tariff (local currency, kwh) 2023</t>
  </si>
  <si>
    <t>Lifeline Tariff (local currency, kwh) 2024</t>
  </si>
  <si>
    <t>Lifeline Tariff growth rate</t>
  </si>
  <si>
    <t>only over 3 years for KE because of significant jump</t>
  </si>
  <si>
    <r>
      <t xml:space="preserve">1. https://www.stimatracker.com/historic#tariffs
2. https://www.zesco.co.zm/tariff
</t>
    </r>
    <r>
      <rPr>
        <b/>
        <u/>
        <sz val="11"/>
        <color theme="10"/>
        <rFont val="Aptos Narrow"/>
        <family val="2"/>
        <scheme val="minor"/>
      </rPr>
      <t>3. https://www.theigc.org/blogs/increasing-tariffs-prevent-another-electricity-crisis-zambia</t>
    </r>
    <r>
      <rPr>
        <u/>
        <sz val="11"/>
        <color theme="10"/>
        <rFont val="Aptos Narrow"/>
        <family val="2"/>
        <scheme val="minor"/>
      </rPr>
      <t xml:space="preserve">
4. https://www.erb.org.zm/wp-content/uploads/files/CoSS/Cost-of-Service-Study-Task-5-Determination-of-Economic-Cost-of-Supply-and-Structure-and-Level-of-Tariffs.pdf</t>
    </r>
  </si>
  <si>
    <t>Utility Cost of sale (local currency, /kwh) 2016</t>
  </si>
  <si>
    <t>Utility Cost of sale (local currency, /kwh) 2017</t>
  </si>
  <si>
    <t>Utility Cost of sale (local currency, /kwh) 2018</t>
  </si>
  <si>
    <t>Utility Cost of sale (local currency, /kwh) 2019</t>
  </si>
  <si>
    <t>Utility Cost of sale (local currency, /kwh) 2020</t>
  </si>
  <si>
    <t>Utility Cost of sale (local currency, /kwh) 2021</t>
  </si>
  <si>
    <t>Utility Cost of sale (local currency, /kwh) 2022</t>
  </si>
  <si>
    <t>Utility Cost of sale (local currency, /kwh) 2023</t>
  </si>
  <si>
    <t>Utility Cost of sale (local currency, /kwh) 2024</t>
  </si>
  <si>
    <t>Utility Cost of sale (local currency, /kwh) 2025</t>
  </si>
  <si>
    <t>Utility Cost of sale (growth rate)</t>
  </si>
  <si>
    <r>
      <t xml:space="preserve">1. https://www.stimatracker.com/historic#tariffs
2. https://www.zesco.co.zm/tariff
</t>
    </r>
    <r>
      <rPr>
        <b/>
        <u/>
        <sz val="11"/>
        <color theme="10"/>
        <rFont val="Aptos Narrow"/>
        <family val="2"/>
        <scheme val="minor"/>
      </rPr>
      <t>3. https://www.theigc.org/blogs/increasing-tariffs-prevent-another-electricity-crisis-zambia
4. https://netmetering.zesco.co.zm/assets/img/documents/Approved_tariffs.pdf</t>
    </r>
    <r>
      <rPr>
        <u/>
        <sz val="11"/>
        <color theme="10"/>
        <rFont val="Aptos Narrow"/>
        <family val="2"/>
        <scheme val="minor"/>
      </rPr>
      <t xml:space="preserve">
4. https://www.erb.org.zm/wp-content/uploads/files/CoSS/Cost-of-Service-Study-Task-5-Determination-of-Economic-Cost-of-Supply-and-Structure-and-Level-of-Tariffs.pdf</t>
    </r>
  </si>
  <si>
    <t>https://efficiencyforaccess.org/publications/lighting-a-path-to-affordability/
https://www.seforall.org/system/files/2023-04/Malawi%20IEP%20-%20Electrification%20Report_FINAL_compressed.pdf</t>
  </si>
  <si>
    <t>Country</t>
  </si>
  <si>
    <t>Total SHS connections</t>
  </si>
  <si>
    <t>Compact SHS investment</t>
  </si>
  <si>
    <t xml:space="preserve">SHS Integration Viability </t>
  </si>
  <si>
    <t>Income Level Scenario</t>
  </si>
  <si>
    <t>PAYGO gap</t>
  </si>
  <si>
    <t>Middle Bound % of income</t>
  </si>
  <si>
    <t>Lower Bound % income</t>
  </si>
  <si>
    <t>EaaS gap</t>
  </si>
  <si>
    <t>EaaS Gap as % of Levy</t>
  </si>
  <si>
    <t>Avoided Grid Investment Cost</t>
  </si>
  <si>
    <t>https://www.nature.com/articles/s41560-022-01041-6
https://www.epra.go.ke/sites/default/files/2024-12/Power%20Market%20Study%20MAI%20Final%20Report%20-%20171121_compressed.pdf</t>
  </si>
  <si>
    <t>WACC Scenario</t>
  </si>
  <si>
    <t>Utility Owned</t>
  </si>
  <si>
    <t>Operator Owned</t>
  </si>
  <si>
    <t>from GEAPP paper?</t>
  </si>
  <si>
    <t>https://www.epra.go.ke/sites/default/files/2024-12/Power%20Market%20Study%20MAI%20Final%20Report%20-%20171121_compressed.pdf</t>
  </si>
  <si>
    <t>https://www.erb.org.zm/wp-content/uploads/files/CoSS/Cost-of-Service-Study-Task-5-Determination-of-Economic-Cost-of-Supply-and-Structure-and-Level-of-Tariffs.pdf</t>
  </si>
  <si>
    <t>EaaS Funding Gap (USD)</t>
  </si>
  <si>
    <t>PAYGO funding gap (USD)</t>
  </si>
  <si>
    <t>which is the integrated lowered WACC?</t>
  </si>
  <si>
    <t>1. https://thedocs.worldbank.org/en/doc/69843ca047603c8c4e993d2ff997f555-0010012025/original/Kenya-National-Energy-Compact-Mission-300.pdf
2. https://www.worldbank.org/content/dam/theworldbankgroupasset/document/2026/m300-energy-compacts/Zambia-M300-AES-Compact.pdf
3. REMP: https://www.moe.gov.zm/wp-content/uploads/2026/04/RURAL-ELECTRIFICATION-MASTER-PLAN-2025-2030.pdf</t>
  </si>
  <si>
    <t>Tier One Annual Consumption per HH (upper limit)</t>
  </si>
  <si>
    <t>weighted from urban 127 and rural 199 assuming 82% rural</t>
  </si>
  <si>
    <t>Annual CoS per HH — capital recovery + O&amp;M ($/yr) (pre 2025) (EaaS)</t>
  </si>
  <si>
    <t>Annual CoS per HH — capital recovery + O&amp;M ($/yr) (post 2025) (EaaS)</t>
  </si>
  <si>
    <t>Derived from affordability code</t>
  </si>
  <si>
    <t>GEAPP 2026 Box 1 (Mugyenyi et al. Energy Policy Vol.198 2025; ESD Vol.90 2026): actual share of electricity spending is typu1–2% of expenditure on electricity. 1.5% midpoint. Realistic scenario, observed post-connection behaviour</t>
  </si>
  <si>
    <t>https://www.sciencedirect.com/science/article/pii/S0973082625002261</t>
  </si>
  <si>
    <t>1. Kenya: https://wavelinknetworks.co.ke/blog/
2. https://practicalaction.org/news-stories/making-electricity-affordable-for-people-living-in-extreme-poverty-in-nepal-rwanda-and-zambia/
3. https://gogla.org/blog/revamping-results-based-financing/#indu</t>
  </si>
  <si>
    <t>RBF</t>
  </si>
  <si>
    <t>Low</t>
  </si>
  <si>
    <t>High</t>
  </si>
  <si>
    <t>Total Affordability Gap (Fiscal Burden)</t>
  </si>
  <si>
    <t>Total Affordability Gap (Potential Fiscal Burden)</t>
  </si>
  <si>
    <t>Operator</t>
  </si>
  <si>
    <t>Upper Bound</t>
  </si>
  <si>
    <t>EaaS subsidy-needing households (upper bound, 2020)</t>
  </si>
  <si>
    <t>EaaS subsidy-needing households (lower bound, 2020)</t>
  </si>
  <si>
    <t>No of HHs scenario based on affordability</t>
  </si>
  <si>
    <t>WACC scenario</t>
  </si>
  <si>
    <t>Income scenario</t>
  </si>
  <si>
    <t>#HH scenario</t>
  </si>
  <si>
    <t>Utility</t>
  </si>
  <si>
    <t>Lower Bound</t>
  </si>
  <si>
    <t>Middle Bound</t>
  </si>
  <si>
    <t>Grand means</t>
  </si>
  <si>
    <t>Kenya EaaS gap</t>
  </si>
  <si>
    <t>Kenya PAYGO gap</t>
  </si>
  <si>
    <t>Zambia EaaS gap</t>
  </si>
  <si>
    <t>Zambia PAYGO gap</t>
  </si>
  <si>
    <t>Level means (WACC)</t>
  </si>
  <si>
    <t>Level means (Income)</t>
  </si>
  <si>
    <t>Level means (HH)</t>
  </si>
  <si>
    <t>Eaas</t>
  </si>
  <si>
    <t>PAYGO</t>
  </si>
  <si>
    <t>EaaS</t>
  </si>
  <si>
    <t xml:space="preserve">Main effects </t>
  </si>
  <si>
    <t>Operator, Kenya EaaS effect</t>
  </si>
  <si>
    <t>Utility, Kenya EaaS effect</t>
  </si>
  <si>
    <t>Operator, Kenya PAYGO effect</t>
  </si>
  <si>
    <t>Utility, Kenya PAYGO effect</t>
  </si>
  <si>
    <t>Operator, Zambia EaaS effect</t>
  </si>
  <si>
    <t>Utility, Zambia EaaS effect</t>
  </si>
  <si>
    <t>Operator, Zambia PAYGO effect</t>
  </si>
  <si>
    <t>Utility, Zambia PAYGO effect</t>
  </si>
  <si>
    <t>WACC</t>
  </si>
  <si>
    <t>Income</t>
  </si>
  <si>
    <t>Upper, Kenya EaaS effect</t>
  </si>
  <si>
    <t>HH</t>
  </si>
  <si>
    <t>Middle, Kenya EaaS effect</t>
  </si>
  <si>
    <t>Lower, Kenya EaaS effect</t>
  </si>
  <si>
    <t>Upper, Kenya PAYGO effect</t>
  </si>
  <si>
    <t>Middle, Kenya PAYGO effect</t>
  </si>
  <si>
    <t>Lower, Kenya PAYGO effect</t>
  </si>
  <si>
    <t>Upper, Zambia EaaS effect</t>
  </si>
  <si>
    <t>Middle, Zambia EaaS effect</t>
  </si>
  <si>
    <t>Lower, Zambia EaaS effect</t>
  </si>
  <si>
    <t>Upper, Zambia PAYGO effect</t>
  </si>
  <si>
    <t>Middle, Zambia PAYGO effect</t>
  </si>
  <si>
    <t>Lower, Zambia PAYGO effect</t>
  </si>
  <si>
    <t>Kenya EaaS</t>
  </si>
  <si>
    <t>SS_WACC</t>
  </si>
  <si>
    <t>SS_Income</t>
  </si>
  <si>
    <t>SS_HH</t>
  </si>
  <si>
    <t>Total SS</t>
  </si>
  <si>
    <t>Kenya PAYGO</t>
  </si>
  <si>
    <t>Zambia EaaS</t>
  </si>
  <si>
    <t>Zambia PAYGO</t>
  </si>
  <si>
    <t>% from WACC</t>
  </si>
  <si>
    <t>% from Income</t>
  </si>
  <si>
    <t>% from #HH</t>
  </si>
  <si>
    <t>% from interactions (2-way + 3-way combined)</t>
  </si>
  <si>
    <t>Scenario</t>
  </si>
  <si>
    <t>Test WACC</t>
  </si>
  <si>
    <t>Sourced from Value</t>
  </si>
  <si>
    <t>PAYGO value</t>
  </si>
  <si>
    <t>Block</t>
  </si>
  <si>
    <t>Slope</t>
  </si>
  <si>
    <t>R^2</t>
  </si>
  <si>
    <t>Elasticity at Base Kenya</t>
  </si>
  <si>
    <t>Kenya Utility</t>
  </si>
  <si>
    <t>Kenya Operator</t>
  </si>
  <si>
    <t>Zambia Utility</t>
  </si>
  <si>
    <t>Zambia Operator</t>
  </si>
  <si>
    <t>PAYGO Gap</t>
  </si>
  <si>
    <t>EaaS Gap</t>
  </si>
  <si>
    <t>HH scenario</t>
  </si>
  <si>
    <t>Difference</t>
  </si>
  <si>
    <t>EaaS Utility  WACC Gap</t>
  </si>
  <si>
    <t>EaaS Operator WACC Gap</t>
  </si>
  <si>
    <t>Deviation from base WACC</t>
  </si>
  <si>
    <t>Kenya Funding Gap (Utility WACC)</t>
  </si>
  <si>
    <t>Kenya Funding Gap (Operator WACC)</t>
  </si>
  <si>
    <t>Zambia Funding Gap (Utility WACC)</t>
  </si>
  <si>
    <t>Zambia Funding Gap (Operator WACC)</t>
  </si>
  <si>
    <t>Sensitivity of Eaas Funding to WACC selection</t>
  </si>
  <si>
    <t>Parameter Sensitivity Analysis</t>
  </si>
  <si>
    <t>Factor</t>
  </si>
  <si>
    <t>Number of Connections</t>
  </si>
  <si>
    <t>modelling results based on DRE Atlas and GEP data</t>
  </si>
  <si>
    <t>Drawn from COS studies for ZESCO and KPLC</t>
  </si>
  <si>
    <t xml:space="preserve"> derived</t>
  </si>
  <si>
    <t>ignored</t>
  </si>
  <si>
    <t>PAYGO unsubsidised uprfont cost (ignore)</t>
  </si>
  <si>
    <t xml:space="preserve">PAYGO+RBF to subsidise upfront cost </t>
  </si>
  <si>
    <t>Analysis from VS code using GEP scenario, GNI scenario, Gini Index data - DRE</t>
  </si>
  <si>
    <t>Analysis from VS code using GEP scenario, GNI scenario, Gini Index data - MTF</t>
  </si>
  <si>
    <t>Test HH population</t>
  </si>
  <si>
    <t>EaaS gap output</t>
  </si>
  <si>
    <t>PAYGO gap output</t>
  </si>
  <si>
    <t>Marker Flag</t>
  </si>
  <si>
    <t>Test income share</t>
  </si>
  <si>
    <t>Real Values</t>
  </si>
  <si>
    <t>USD Exchange Rate</t>
  </si>
  <si>
    <t>Keny a</t>
  </si>
  <si>
    <t>USD CPI</t>
  </si>
  <si>
    <t>Value</t>
  </si>
  <si>
    <t>Index</t>
  </si>
  <si>
    <t>Nominal USD</t>
  </si>
  <si>
    <t>Real USD</t>
  </si>
  <si>
    <t>Revenue 2016 (USD)</t>
  </si>
  <si>
    <t>Revenue  2017 (USD)</t>
  </si>
  <si>
    <t>Revenue 2018 (USD)</t>
  </si>
  <si>
    <t>Revenue 2019 (USD)</t>
  </si>
  <si>
    <t>Revenue 2020 (USD)</t>
  </si>
  <si>
    <t>Revenue 2021 (USD)</t>
  </si>
  <si>
    <t>Revenue 2022 (USD)</t>
  </si>
  <si>
    <t>Revenue 2023 (USD)</t>
  </si>
  <si>
    <t>Revenue 2024 (USD)</t>
  </si>
  <si>
    <t>Revenue 2025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</si>
</sst>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%"/>
    <numFmt numFmtId="165" formatCode="0.0000"/>
    <numFmt numFmtId="166" formatCode="\$#,##0.00"/>
    <numFmt numFmtId="167" formatCode="_-* #,##0_-;\-* #,##0_-;_-* &quot;-&quot;??_-;_-@_-"/>
    <numFmt numFmtId="168" formatCode="0.00000%"/>
    <numFmt numFmtId="169" formatCode="0.00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sz val="10"/>
      <color rgb="FF444444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8"/>
      <name val="Aptos Narrow"/>
      <family val="2"/>
      <scheme val="minor"/>
    </font>
    <font>
      <b/>
      <sz val="13"/>
      <color rgb="FFFFFFFF"/>
      <name val="Arial"/>
      <family val="2"/>
    </font>
    <font>
      <b/>
      <sz val="9"/>
      <color rgb="FF444444"/>
      <name val="Arial"/>
      <family val="2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444444"/>
      <name val="Aptos Narrow"/>
      <family val="2"/>
    </font>
    <font>
      <b/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0"/>
      <color theme="1"/>
      <name val="Arial Unicode MS"/>
    </font>
  </fonts>
  <fills count="11">
    <fill>
      <patternFill patternType="none"/>
    </fill>
    <fill>
      <patternFill patternType="gray125"/>
    </fill>
    <fill>
      <patternFill patternType="solid">
        <fgColor rgb="FF1F4E2E"/>
        <bgColor rgb="FF444444"/>
      </patternFill>
    </fill>
    <fill>
      <patternFill patternType="solid">
        <fgColor rgb="FF2E7D4F"/>
        <bgColor rgb="FF008080"/>
      </patternFill>
    </fill>
    <fill>
      <patternFill patternType="solid">
        <fgColor theme="6" tint="0.39997558519241921"/>
        <bgColor rgb="FFF0F0F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7558519241921"/>
        <bgColor rgb="FF00808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14">
    <xf numFmtId="0" fontId="0" fillId="0" borderId="0" xfId="0"/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vertical="top" wrapText="1"/>
    </xf>
    <xf numFmtId="0" fontId="4" fillId="5" borderId="0" xfId="0" applyFont="1" applyFill="1"/>
    <xf numFmtId="0" fontId="5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7" fillId="0" borderId="0" xfId="3" applyAlignment="1">
      <alignment vertical="top" wrapText="1"/>
    </xf>
    <xf numFmtId="0" fontId="8" fillId="0" borderId="0" xfId="0" applyFont="1" applyAlignment="1">
      <alignment vertical="top"/>
    </xf>
    <xf numFmtId="10" fontId="0" fillId="0" borderId="0" xfId="2" applyNumberFormat="1" applyFont="1"/>
    <xf numFmtId="10" fontId="8" fillId="0" borderId="0" xfId="2" applyNumberFormat="1" applyFont="1"/>
    <xf numFmtId="3" fontId="0" fillId="0" borderId="0" xfId="0" applyNumberFormat="1"/>
    <xf numFmtId="3" fontId="8" fillId="0" borderId="0" xfId="0" applyNumberFormat="1" applyFont="1" applyAlignment="1">
      <alignment vertical="top"/>
    </xf>
    <xf numFmtId="0" fontId="8" fillId="0" borderId="0" xfId="0" applyFont="1"/>
    <xf numFmtId="167" fontId="8" fillId="0" borderId="0" xfId="1" applyNumberFormat="1" applyFont="1" applyAlignment="1">
      <alignment vertical="top"/>
    </xf>
    <xf numFmtId="9" fontId="8" fillId="0" borderId="0" xfId="0" applyNumberFormat="1" applyFont="1" applyAlignment="1">
      <alignment vertical="top"/>
    </xf>
    <xf numFmtId="166" fontId="0" fillId="0" borderId="0" xfId="0" applyNumberFormat="1"/>
    <xf numFmtId="43" fontId="0" fillId="0" borderId="0" xfId="1" applyFont="1"/>
    <xf numFmtId="43" fontId="0" fillId="0" borderId="0" xfId="0" applyNumberFormat="1"/>
    <xf numFmtId="168" fontId="0" fillId="0" borderId="0" xfId="2" applyNumberFormat="1" applyFont="1"/>
    <xf numFmtId="4" fontId="0" fillId="0" borderId="0" xfId="0" applyNumberFormat="1"/>
    <xf numFmtId="4" fontId="0" fillId="0" borderId="0" xfId="1" applyNumberFormat="1" applyFont="1"/>
    <xf numFmtId="0" fontId="14" fillId="0" borderId="0" xfId="0" applyFont="1" applyAlignment="1">
      <alignment vertical="top" wrapText="1"/>
    </xf>
    <xf numFmtId="43" fontId="8" fillId="0" borderId="0" xfId="1" applyFont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8" fillId="0" borderId="0" xfId="0" applyFont="1" applyAlignment="1">
      <alignment vertical="top" wrapText="1"/>
    </xf>
    <xf numFmtId="0" fontId="15" fillId="0" borderId="0" xfId="0" applyFont="1" applyAlignment="1">
      <alignment vertical="top" wrapText="1"/>
    </xf>
    <xf numFmtId="3" fontId="14" fillId="0" borderId="0" xfId="0" applyNumberFormat="1" applyFont="1" applyAlignment="1">
      <alignment vertical="top" wrapText="1"/>
    </xf>
    <xf numFmtId="164" fontId="8" fillId="0" borderId="0" xfId="0" applyNumberFormat="1" applyFont="1" applyAlignment="1">
      <alignment vertical="top" wrapText="1"/>
    </xf>
    <xf numFmtId="0" fontId="0" fillId="0" borderId="0" xfId="0" applyAlignment="1">
      <alignment wrapText="1"/>
    </xf>
    <xf numFmtId="165" fontId="14" fillId="0" borderId="0" xfId="0" applyNumberFormat="1" applyFont="1" applyAlignment="1">
      <alignment vertical="top" wrapText="1"/>
    </xf>
    <xf numFmtId="166" fontId="14" fillId="0" borderId="0" xfId="0" applyNumberFormat="1" applyFont="1" applyAlignment="1">
      <alignment vertical="top" wrapText="1"/>
    </xf>
    <xf numFmtId="0" fontId="12" fillId="0" borderId="0" xfId="0" applyFont="1" applyAlignment="1">
      <alignment vertical="top" wrapText="1"/>
    </xf>
    <xf numFmtId="166" fontId="0" fillId="0" borderId="0" xfId="0" applyNumberFormat="1" applyAlignment="1">
      <alignment vertical="top" wrapText="1"/>
    </xf>
    <xf numFmtId="0" fontId="7" fillId="0" borderId="0" xfId="3" applyAlignment="1">
      <alignment wrapText="1"/>
    </xf>
    <xf numFmtId="3" fontId="12" fillId="0" borderId="0" xfId="0" applyNumberFormat="1" applyFont="1"/>
    <xf numFmtId="3" fontId="8" fillId="0" borderId="0" xfId="0" applyNumberFormat="1" applyFont="1"/>
    <xf numFmtId="9" fontId="8" fillId="0" borderId="0" xfId="2" applyFont="1"/>
    <xf numFmtId="1" fontId="8" fillId="0" borderId="0" xfId="2" applyNumberFormat="1" applyFont="1"/>
    <xf numFmtId="0" fontId="11" fillId="6" borderId="0" xfId="0" applyFont="1" applyFill="1" applyAlignment="1">
      <alignment vertical="top" wrapText="1"/>
    </xf>
    <xf numFmtId="0" fontId="13" fillId="5" borderId="1" xfId="0" applyFont="1" applyFill="1" applyBorder="1" applyAlignment="1">
      <alignment horizontal="center"/>
    </xf>
    <xf numFmtId="0" fontId="0" fillId="0" borderId="1" xfId="0" applyBorder="1"/>
    <xf numFmtId="43" fontId="0" fillId="0" borderId="1" xfId="0" applyNumberFormat="1" applyBorder="1"/>
    <xf numFmtId="0" fontId="0" fillId="5" borderId="1" xfId="0" applyFill="1" applyBorder="1"/>
    <xf numFmtId="43" fontId="0" fillId="0" borderId="1" xfId="1" applyFont="1" applyBorder="1"/>
    <xf numFmtId="43" fontId="0" fillId="0" borderId="1" xfId="1" applyFont="1" applyFill="1" applyBorder="1"/>
    <xf numFmtId="43" fontId="0" fillId="5" borderId="1" xfId="1" applyFont="1" applyFill="1" applyBorder="1"/>
    <xf numFmtId="0" fontId="11" fillId="6" borderId="0" xfId="0" applyFont="1" applyFill="1" applyAlignment="1">
      <alignment horizontal="left" vertical="top" wrapText="1"/>
    </xf>
    <xf numFmtId="0" fontId="13" fillId="7" borderId="0" xfId="0" applyFont="1" applyFill="1"/>
    <xf numFmtId="3" fontId="12" fillId="0" borderId="0" xfId="0" applyNumberFormat="1" applyFont="1" applyAlignment="1">
      <alignment vertical="top" wrapText="1"/>
    </xf>
    <xf numFmtId="167" fontId="0" fillId="0" borderId="0" xfId="1" applyNumberFormat="1" applyFont="1"/>
    <xf numFmtId="167" fontId="16" fillId="0" borderId="0" xfId="0" applyNumberFormat="1" applyFont="1" applyAlignment="1">
      <alignment horizontal="left" vertical="top" wrapText="1"/>
    </xf>
    <xf numFmtId="43" fontId="13" fillId="0" borderId="1" xfId="0" applyNumberFormat="1" applyFont="1" applyBorder="1"/>
    <xf numFmtId="43" fontId="13" fillId="0" borderId="1" xfId="1" applyFont="1" applyBorder="1"/>
    <xf numFmtId="0" fontId="11" fillId="6" borderId="1" xfId="0" applyFont="1" applyFill="1" applyBorder="1" applyAlignment="1">
      <alignment vertical="top" wrapText="1"/>
    </xf>
    <xf numFmtId="167" fontId="0" fillId="0" borderId="1" xfId="1" applyNumberFormat="1" applyFont="1" applyBorder="1"/>
    <xf numFmtId="4" fontId="0" fillId="0" borderId="1" xfId="0" applyNumberFormat="1" applyBorder="1"/>
    <xf numFmtId="4" fontId="0" fillId="0" borderId="1" xfId="1" applyNumberFormat="1" applyFont="1" applyBorder="1"/>
    <xf numFmtId="10" fontId="0" fillId="0" borderId="1" xfId="2" applyNumberFormat="1" applyFont="1" applyBorder="1"/>
    <xf numFmtId="3" fontId="0" fillId="0" borderId="1" xfId="0" applyNumberFormat="1" applyBorder="1"/>
    <xf numFmtId="0" fontId="0" fillId="8" borderId="1" xfId="0" applyFill="1" applyBorder="1"/>
    <xf numFmtId="0" fontId="0" fillId="8" borderId="0" xfId="0" applyFill="1"/>
    <xf numFmtId="167" fontId="0" fillId="0" borderId="0" xfId="1" applyNumberFormat="1" applyFont="1" applyBorder="1"/>
    <xf numFmtId="167" fontId="0" fillId="0" borderId="2" xfId="1" applyNumberFormat="1" applyFont="1" applyBorder="1"/>
    <xf numFmtId="0" fontId="0" fillId="0" borderId="2" xfId="0" applyBorder="1"/>
    <xf numFmtId="43" fontId="0" fillId="0" borderId="0" xfId="1" applyFont="1" applyBorder="1"/>
    <xf numFmtId="43" fontId="0" fillId="0" borderId="2" xfId="1" applyFont="1" applyBorder="1"/>
    <xf numFmtId="43" fontId="0" fillId="0" borderId="2" xfId="0" applyNumberFormat="1" applyBorder="1"/>
    <xf numFmtId="167" fontId="0" fillId="0" borderId="1" xfId="0" applyNumberFormat="1" applyBorder="1"/>
    <xf numFmtId="4" fontId="0" fillId="0" borderId="0" xfId="1" applyNumberFormat="1" applyFont="1" applyBorder="1"/>
    <xf numFmtId="0" fontId="12" fillId="0" borderId="0" xfId="0" applyFont="1" applyAlignment="1">
      <alignment vertical="top"/>
    </xf>
    <xf numFmtId="3" fontId="0" fillId="0" borderId="0" xfId="0" applyNumberFormat="1" applyAlignment="1">
      <alignment vertical="top" wrapText="1"/>
    </xf>
    <xf numFmtId="3" fontId="8" fillId="0" borderId="0" xfId="0" applyNumberFormat="1" applyFont="1" applyAlignment="1">
      <alignment vertical="top" wrapText="1"/>
    </xf>
    <xf numFmtId="2" fontId="8" fillId="0" borderId="0" xfId="0" applyNumberFormat="1" applyFont="1"/>
    <xf numFmtId="169" fontId="8" fillId="0" borderId="0" xfId="0" applyNumberFormat="1" applyFont="1"/>
    <xf numFmtId="0" fontId="12" fillId="0" borderId="0" xfId="0" applyFont="1"/>
    <xf numFmtId="166" fontId="8" fillId="0" borderId="0" xfId="0" applyNumberFormat="1" applyFont="1" applyAlignment="1">
      <alignment vertical="top" wrapText="1"/>
    </xf>
    <xf numFmtId="0" fontId="0" fillId="9" borderId="3" xfId="0" applyFill="1" applyBorder="1"/>
    <xf numFmtId="0" fontId="13" fillId="0" borderId="3" xfId="0" applyFont="1" applyBorder="1"/>
    <xf numFmtId="0" fontId="0" fillId="0" borderId="3" xfId="0" applyBorder="1"/>
    <xf numFmtId="0" fontId="0" fillId="0" borderId="0" xfId="0" applyAlignment="1">
      <alignment horizontal="center" vertical="center"/>
    </xf>
    <xf numFmtId="0" fontId="20" fillId="0" borderId="0" xfId="0" applyFont="1" applyAlignment="1">
      <alignment vertical="center"/>
    </xf>
    <xf numFmtId="9" fontId="0" fillId="0" borderId="0" xfId="2" applyFont="1"/>
    <xf numFmtId="10" fontId="8" fillId="0" borderId="0" xfId="0" applyNumberFormat="1" applyFont="1"/>
    <xf numFmtId="10" fontId="8" fillId="10" borderId="0" xfId="2" applyNumberFormat="1" applyFont="1" applyFill="1"/>
    <xf numFmtId="164" fontId="15" fillId="0" borderId="0" xfId="0" applyNumberFormat="1" applyFont="1" applyAlignment="1">
      <alignment vertical="top" wrapText="1"/>
    </xf>
    <xf numFmtId="164" fontId="12" fillId="0" borderId="0" xfId="0" applyNumberFormat="1" applyFont="1" applyAlignment="1">
      <alignment vertical="top" wrapText="1"/>
    </xf>
    <xf numFmtId="9" fontId="0" fillId="0" borderId="0" xfId="2" applyFont="1" applyAlignment="1">
      <alignment wrapText="1"/>
    </xf>
    <xf numFmtId="9" fontId="12" fillId="0" borderId="0" xfId="2" applyFont="1"/>
    <xf numFmtId="4" fontId="13" fillId="0" borderId="1" xfId="0" applyNumberFormat="1" applyFont="1" applyBorder="1"/>
    <xf numFmtId="43" fontId="1" fillId="0" borderId="1" xfId="1" applyFont="1" applyBorder="1"/>
    <xf numFmtId="0" fontId="13" fillId="0" borderId="0" xfId="0" applyFont="1"/>
    <xf numFmtId="11" fontId="0" fillId="0" borderId="0" xfId="0" applyNumberFormat="1"/>
    <xf numFmtId="9" fontId="0" fillId="0" borderId="0" xfId="0" applyNumberFormat="1"/>
    <xf numFmtId="10" fontId="0" fillId="0" borderId="0" xfId="0" applyNumberFormat="1"/>
    <xf numFmtId="43" fontId="1" fillId="10" borderId="1" xfId="1" applyFont="1" applyFill="1" applyBorder="1"/>
    <xf numFmtId="0" fontId="7" fillId="0" borderId="0" xfId="3"/>
    <xf numFmtId="9" fontId="0" fillId="0" borderId="1" xfId="2" applyFont="1" applyBorder="1"/>
    <xf numFmtId="0" fontId="11" fillId="6" borderId="0" xfId="0" applyFont="1" applyFill="1" applyAlignment="1">
      <alignment horizontal="left" vertical="top" wrapText="1"/>
    </xf>
    <xf numFmtId="0" fontId="10" fillId="2" borderId="0" xfId="0" applyFont="1" applyFill="1" applyAlignment="1">
      <alignment horizontal="center" vertical="center" wrapText="1"/>
    </xf>
    <xf numFmtId="0" fontId="18" fillId="5" borderId="3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 vertical="center"/>
    </xf>
    <xf numFmtId="0" fontId="13" fillId="5" borderId="5" xfId="0" applyFont="1" applyFill="1" applyBorder="1" applyAlignment="1">
      <alignment horizontal="center" vertical="center"/>
    </xf>
    <xf numFmtId="167" fontId="19" fillId="0" borderId="6" xfId="1" applyNumberFormat="1" applyFont="1" applyFill="1" applyBorder="1" applyAlignment="1">
      <alignment horizontal="center" vertical="center"/>
    </xf>
    <xf numFmtId="167" fontId="19" fillId="0" borderId="7" xfId="1" applyNumberFormat="1" applyFont="1" applyFill="1" applyBorder="1" applyAlignment="1">
      <alignment horizontal="center" vertical="center"/>
    </xf>
    <xf numFmtId="167" fontId="19" fillId="0" borderId="8" xfId="1" applyNumberFormat="1" applyFont="1" applyFill="1" applyBorder="1" applyAlignment="1">
      <alignment horizontal="center" vertical="center"/>
    </xf>
    <xf numFmtId="167" fontId="19" fillId="0" borderId="9" xfId="1" applyNumberFormat="1" applyFont="1" applyFill="1" applyBorder="1" applyAlignment="1">
      <alignment horizontal="center" vertical="center"/>
    </xf>
    <xf numFmtId="43" fontId="19" fillId="0" borderId="6" xfId="1" applyFont="1" applyFill="1" applyBorder="1" applyAlignment="1">
      <alignment horizontal="center" vertical="center"/>
    </xf>
    <xf numFmtId="43" fontId="19" fillId="0" borderId="7" xfId="1" applyFont="1" applyFill="1" applyBorder="1" applyAlignment="1">
      <alignment horizontal="center" vertical="center"/>
    </xf>
    <xf numFmtId="43" fontId="19" fillId="0" borderId="8" xfId="1" applyFont="1" applyFill="1" applyBorder="1" applyAlignment="1">
      <alignment horizontal="center" vertical="center"/>
    </xf>
    <xf numFmtId="43" fontId="19" fillId="0" borderId="9" xfId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/>
    </xf>
    <xf numFmtId="0" fontId="11" fillId="6" borderId="2" xfId="0" applyFont="1" applyFill="1" applyBorder="1" applyAlignment="1">
      <alignment horizontal="lef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92C5DE"/>
      <color rgb="FF2166AC"/>
      <color rgb="FFF4A582"/>
      <color rgb="FFB2182B"/>
      <color rgb="FF0000FF"/>
      <color rgb="FF444444"/>
      <color rgb="FF1A5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tx1"/>
                </a:solidFill>
              </a:rPr>
              <a:t>Annual</a:t>
            </a:r>
            <a:r>
              <a:rPr lang="en-GB" b="1" baseline="0">
                <a:solidFill>
                  <a:schemeClr val="tx1"/>
                </a:solidFill>
              </a:rPr>
              <a:t> Funding Gap by Delivery Model</a:t>
            </a:r>
            <a:endParaRPr lang="en-GB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Results'!$A$12</c:f>
              <c:strCache>
                <c:ptCount val="1"/>
                <c:pt idx="0">
                  <c:v>EaaS gap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'Summary Results'!$B$11:$L$11</c:f>
              <c:numCache>
                <c:formatCode>General</c:formatCode>
                <c:ptCount val="1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</c:numCache>
            </c:numRef>
          </c:cat>
          <c:val>
            <c:numRef>
              <c:f>'Summary Results'!$B$12:$L$12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16413796.213326309</c:v>
                </c:pt>
                <c:pt idx="2">
                  <c:v>37015884.48503603</c:v>
                </c:pt>
                <c:pt idx="3">
                  <c:v>57617972.756745756</c:v>
                </c:pt>
                <c:pt idx="4">
                  <c:v>74031768.970072046</c:v>
                </c:pt>
                <c:pt idx="5">
                  <c:v>84899399.984412089</c:v>
                </c:pt>
                <c:pt idx="6">
                  <c:v>84899399.984412089</c:v>
                </c:pt>
                <c:pt idx="7">
                  <c:v>84899399.984412089</c:v>
                </c:pt>
                <c:pt idx="8">
                  <c:v>84899399.984412089</c:v>
                </c:pt>
                <c:pt idx="9">
                  <c:v>84899399.984412089</c:v>
                </c:pt>
                <c:pt idx="10">
                  <c:v>84899399.984412089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9A-45B1-8513-8FAEE52AC451}"/>
            </c:ext>
          </c:extLst>
        </c:ser>
        <c:ser>
          <c:idx val="1"/>
          <c:order val="1"/>
          <c:tx>
            <c:strRef>
              <c:f>'Summary Results'!$A$13</c:f>
              <c:strCache>
                <c:ptCount val="1"/>
                <c:pt idx="0">
                  <c:v>PAYGO gap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'Summary Results'!$B$11:$L$11</c:f>
              <c:numCache>
                <c:formatCode>General</c:formatCode>
                <c:ptCount val="1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</c:numCache>
            </c:numRef>
          </c:cat>
          <c:val>
            <c:numRef>
              <c:f>'Summary Results'!$B$13:$L$13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39331822.897535443</c:v>
                </c:pt>
                <c:pt idx="2">
                  <c:v>73088380.522676617</c:v>
                </c:pt>
                <c:pt idx="3">
                  <c:v>79141064.735296339</c:v>
                </c:pt>
                <c:pt idx="4">
                  <c:v>69104802.596879795</c:v>
                </c:pt>
                <c:pt idx="5">
                  <c:v>49762030.915652782</c:v>
                </c:pt>
                <c:pt idx="6">
                  <c:v>15705289.352352621</c:v>
                </c:pt>
                <c:pt idx="7">
                  <c:v>39331822.897535443</c:v>
                </c:pt>
                <c:pt idx="8">
                  <c:v>73088380.522676617</c:v>
                </c:pt>
                <c:pt idx="9">
                  <c:v>79141064.735296339</c:v>
                </c:pt>
                <c:pt idx="10">
                  <c:v>69104802.596879795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9A-45B1-8513-8FAEE52AC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08848191"/>
        <c:axId val="1407359919"/>
      </c:barChart>
      <c:catAx>
        <c:axId val="1408848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1407359919"/>
        <c:crosses val="autoZero"/>
        <c:auto val="1"/>
        <c:lblAlgn val="ctr"/>
        <c:lblOffset val="100"/>
        <c:noMultiLvlLbl val="0"/>
      </c:catAx>
      <c:valAx>
        <c:axId val="140735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1408848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K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tx1"/>
                </a:solidFill>
              </a:rPr>
              <a:t>EaaS Funding Gap</a:t>
            </a:r>
            <a:r>
              <a:rPr lang="en-GB" b="1" baseline="0">
                <a:solidFill>
                  <a:schemeClr val="tx1"/>
                </a:solidFill>
              </a:rPr>
              <a:t> in Comparison to Levy</a:t>
            </a:r>
            <a:endParaRPr lang="en-GB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'Summary Results'!$A$12</c:f>
              <c:strCache>
                <c:ptCount val="1"/>
                <c:pt idx="0">
                  <c:v>EaaS gap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'Summary Results'!$B$11:$L$11</c:f>
              <c:numCache>
                <c:formatCode>General</c:formatCode>
                <c:ptCount val="1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</c:numCache>
            </c:numRef>
          </c:cat>
          <c:val>
            <c:numRef>
              <c:f>'Summary Results'!$B$12:$L$12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16413796.213326309</c:v>
                </c:pt>
                <c:pt idx="2">
                  <c:v>37015884.48503603</c:v>
                </c:pt>
                <c:pt idx="3">
                  <c:v>57617972.756745756</c:v>
                </c:pt>
                <c:pt idx="4">
                  <c:v>74031768.970072046</c:v>
                </c:pt>
                <c:pt idx="5">
                  <c:v>84899399.984412089</c:v>
                </c:pt>
                <c:pt idx="6">
                  <c:v>84899399.984412089</c:v>
                </c:pt>
                <c:pt idx="7">
                  <c:v>84899399.984412089</c:v>
                </c:pt>
                <c:pt idx="8">
                  <c:v>84899399.984412089</c:v>
                </c:pt>
                <c:pt idx="9">
                  <c:v>84899399.984412089</c:v>
                </c:pt>
                <c:pt idx="10">
                  <c:v>84899399.984412089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0-4F3A-A82F-E3A2B0C9F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805952"/>
        <c:axId val="1587462736"/>
      </c:areaChart>
      <c:barChart>
        <c:barDir val="col"/>
        <c:grouping val="clustered"/>
        <c:varyColors val="0"/>
        <c:ser>
          <c:idx val="1"/>
          <c:order val="1"/>
          <c:tx>
            <c:strRef>
              <c:f>'Summary Results'!$A$15</c:f>
              <c:strCache>
                <c:ptCount val="1"/>
                <c:pt idx="0">
                  <c:v>Rural Electrification Levy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'Summary Results'!$B$15:$L$15</c:f>
              <c:numCache>
                <c:formatCode>_(* #,##0.00_);_(* \(#,##0.00\);_(* "-"??_);_(@_)</c:formatCode>
                <c:ptCount val="11"/>
                <c:pt idx="0">
                  <c:v>38832367.879746832</c:v>
                </c:pt>
                <c:pt idx="1">
                  <c:v>40017722.244489834</c:v>
                </c:pt>
                <c:pt idx="2">
                  <c:v>41239259.439349353</c:v>
                </c:pt>
                <c:pt idx="3">
                  <c:v>42498083.941799976</c:v>
                </c:pt>
                <c:pt idx="4">
                  <c:v>43795333.943386935</c:v>
                </c:pt>
                <c:pt idx="5">
                  <c:v>45132182.378844984</c:v>
                </c:pt>
                <c:pt idx="6">
                  <c:v>46509837.986630961</c:v>
                </c:pt>
                <c:pt idx="7">
                  <c:v>47929546.401829004</c:v>
                </c:pt>
                <c:pt idx="8">
                  <c:v>49392591.282416657</c:v>
                </c:pt>
                <c:pt idx="9">
                  <c:v>50900295.469910085</c:v>
                </c:pt>
                <c:pt idx="10">
                  <c:v>52454022.185437888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0-4F3A-A82F-E3A2B0C9F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7805952"/>
        <c:axId val="1587462736"/>
      </c:barChart>
      <c:catAx>
        <c:axId val="158780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1587462736"/>
        <c:crosses val="autoZero"/>
        <c:auto val="1"/>
        <c:lblAlgn val="ctr"/>
        <c:lblOffset val="100"/>
        <c:noMultiLvlLbl val="0"/>
      </c:catAx>
      <c:valAx>
        <c:axId val="158746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158780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K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'Sensitivity Charts'!$A$3</c:f>
              <c:strCache>
                <c:ptCount val="1"/>
                <c:pt idx="0">
                  <c:v>Kenya Funding Gap (Utility WACC)</c:v>
                </c:pt>
              </c:strCache>
            </c:strRef>
          </c:tx>
          <c:spPr>
            <a:ln w="19050" cap="rnd">
              <a:solidFill>
                <a:srgbClr val="B2182B"/>
              </a:solidFill>
              <a:round/>
            </a:ln>
            <a:effectLst/>
          </c:spPr>
          <c:marker>
            <c:symbol val="none"/>
          </c:marker>
          <c:xVal>
            <c:numRef>
              <c:f>'Sensitivity Charts'!$B$2:$I$2</c:f>
              <c:numCache>
                <c:formatCode>0%</c:formatCode>
                <c:ptCount val="8"/>
                <c:pt idx="0">
                  <c:v>-0.45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  <c:pt idx="7">
                  <c:v>1.25</c:v>
                </c:pt>
              </c:numCache>
            </c:numRef>
          </c:xVal>
          <c:yVal>
            <c:numRef>
              <c:f>'Sensitivity Charts'!$B$3:$I$3</c:f>
              <c:numCache>
                <c:formatCode>_(* #,##0.00_);_(* \(#,##0.00\);_(* "-"??_);_(@_)</c:formatCode>
                <c:ptCount val="8"/>
                <c:pt idx="0">
                  <c:v>-46332224.560793221</c:v>
                </c:pt>
                <c:pt idx="1">
                  <c:v>-37464112.867853045</c:v>
                </c:pt>
                <c:pt idx="2">
                  <c:v>-26044791.681380562</c:v>
                </c:pt>
                <c:pt idx="3">
                  <c:v>-14270755.665821955</c:v>
                </c:pt>
                <c:pt idx="4">
                  <c:v>-2159794.8650582144</c:v>
                </c:pt>
                <c:pt idx="5">
                  <c:v>7759695.766373992</c:v>
                </c:pt>
                <c:pt idx="6">
                  <c:v>23002619.374716111</c:v>
                </c:pt>
                <c:pt idx="7">
                  <c:v>36019758.063217103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9-438B-B0FE-21BCCD2BC738}"/>
            </c:ext>
          </c:extLst>
        </c:ser>
        <c:ser>
          <c:idx val="1"/>
          <c:order val="1"/>
          <c:tx>
            <c:strRef>
              <c:f>'Sensitivity Charts'!$A$4</c:f>
              <c:strCache>
                <c:ptCount val="1"/>
                <c:pt idx="0">
                  <c:v>Kenya Funding Gap (Operator WACC)</c:v>
                </c:pt>
              </c:strCache>
            </c:strRef>
          </c:tx>
          <c:spPr>
            <a:ln w="19050" cap="rnd">
              <a:solidFill>
                <a:srgbClr val="F4A582"/>
              </a:solidFill>
              <a:round/>
            </a:ln>
            <a:effectLst/>
          </c:spPr>
          <c:marker>
            <c:symbol val="none"/>
          </c:marker>
          <c:xVal>
            <c:numRef>
              <c:f>'Sensitivity Charts'!$B$2:$I$2</c:f>
              <c:numCache>
                <c:formatCode>0%</c:formatCode>
                <c:ptCount val="8"/>
                <c:pt idx="0">
                  <c:v>-0.45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  <c:pt idx="7">
                  <c:v>1.25</c:v>
                </c:pt>
              </c:numCache>
            </c:numRef>
          </c:xVal>
          <c:yVal>
            <c:numRef>
              <c:f>'Sensitivity Charts'!$B$4:$I$4</c:f>
              <c:numCache>
                <c:formatCode>_(* #,##0.00_);_(* \(#,##0.00\);_(* "-"??_);_(@_)</c:formatCode>
                <c:ptCount val="8"/>
                <c:pt idx="0">
                  <c:v>-34064299.657553948</c:v>
                </c:pt>
                <c:pt idx="1">
                  <c:v>-20183563.564894982</c:v>
                </c:pt>
                <c:pt idx="2">
                  <c:v>-2135562.2132386314</c:v>
                </c:pt>
                <c:pt idx="3">
                  <c:v>16631288.331229875</c:v>
                </c:pt>
                <c:pt idx="4">
                  <c:v>36058715.080021679</c:v>
                </c:pt>
                <c:pt idx="5">
                  <c:v>52038526.96631138</c:v>
                </c:pt>
                <c:pt idx="6">
                  <c:v>76673993.089379489</c:v>
                </c:pt>
                <c:pt idx="7">
                  <c:v>97758624.303443342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E9-438B-B0FE-21BCCD2BC738}"/>
            </c:ext>
          </c:extLst>
        </c:ser>
        <c:ser>
          <c:idx val="2"/>
          <c:order val="2"/>
          <c:tx>
            <c:strRef>
              <c:f>'Sensitivity Charts'!$A$5</c:f>
              <c:strCache>
                <c:ptCount val="1"/>
                <c:pt idx="0">
                  <c:v>Zambia Funding Gap (Utility WACC)</c:v>
                </c:pt>
              </c:strCache>
            </c:strRef>
          </c:tx>
          <c:spPr>
            <a:ln w="19050" cap="rnd">
              <a:solidFill>
                <a:srgbClr val="2166AC"/>
              </a:solidFill>
              <a:round/>
            </a:ln>
            <a:effectLst/>
          </c:spPr>
          <c:marker>
            <c:symbol val="none"/>
          </c:marker>
          <c:xVal>
            <c:numRef>
              <c:f>'Sensitivity Charts'!$B$2:$I$2</c:f>
              <c:numCache>
                <c:formatCode>0%</c:formatCode>
                <c:ptCount val="8"/>
                <c:pt idx="0">
                  <c:v>-0.45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  <c:pt idx="7">
                  <c:v>1.25</c:v>
                </c:pt>
              </c:numCache>
            </c:numRef>
          </c:xVal>
          <c:yVal>
            <c:numRef>
              <c:f>'Sensitivity Charts'!$B$5:$I$5</c:f>
              <c:numCache>
                <c:formatCode>_(* #,##0.00_);_(* \(#,##0.00\);_(* "-"??_);_(@_)</c:formatCode>
                <c:ptCount val="8"/>
                <c:pt idx="0">
                  <c:v>28534214.568997726</c:v>
                </c:pt>
                <c:pt idx="1">
                  <c:v>42530904.182858869</c:v>
                </c:pt>
                <c:pt idx="2">
                  <c:v>60354487.021967247</c:v>
                </c:pt>
                <c:pt idx="3">
                  <c:v>78533804.573592484</c:v>
                </c:pt>
                <c:pt idx="4">
                  <c:v>97059759.336833224</c:v>
                </c:pt>
                <c:pt idx="5">
                  <c:v>112123943.11278537</c:v>
                </c:pt>
                <c:pt idx="6">
                  <c:v>135114874.78332767</c:v>
                </c:pt>
                <c:pt idx="7">
                  <c:v>154625619.87894794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E9-438B-B0FE-21BCCD2BC738}"/>
            </c:ext>
          </c:extLst>
        </c:ser>
        <c:ser>
          <c:idx val="3"/>
          <c:order val="3"/>
          <c:tx>
            <c:strRef>
              <c:f>'Sensitivity Charts'!$A$6</c:f>
              <c:strCache>
                <c:ptCount val="1"/>
                <c:pt idx="0">
                  <c:v>Zambia Funding Gap (Operator WACC)</c:v>
                </c:pt>
              </c:strCache>
            </c:strRef>
          </c:tx>
          <c:spPr>
            <a:ln w="19050" cap="rnd">
              <a:solidFill>
                <a:srgbClr val="92C5DE"/>
              </a:solidFill>
              <a:round/>
            </a:ln>
            <a:effectLst/>
          </c:spPr>
          <c:marker>
            <c:symbol val="none"/>
          </c:marker>
          <c:xVal>
            <c:numRef>
              <c:f>'Sensitivity Charts'!$B$2:$I$2</c:f>
              <c:numCache>
                <c:formatCode>0%</c:formatCode>
                <c:ptCount val="8"/>
                <c:pt idx="0">
                  <c:v>-0.45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  <c:pt idx="7">
                  <c:v>1.25</c:v>
                </c:pt>
              </c:numCache>
            </c:numRef>
          </c:xVal>
          <c:yVal>
            <c:numRef>
              <c:f>'Sensitivity Charts'!$B$6:$I$6</c:f>
              <c:numCache>
                <c:formatCode>_(* #,##0.00_);_(* \(#,##0.00\);_(* "-"??_);_(@_)</c:formatCode>
                <c:ptCount val="8"/>
                <c:pt idx="0">
                  <c:v>110976069.99164271</c:v>
                </c:pt>
                <c:pt idx="1">
                  <c:v>158370749.7564466</c:v>
                </c:pt>
                <c:pt idx="2">
                  <c:v>220200912.27748069</c:v>
                </c:pt>
                <c:pt idx="3">
                  <c:v>284663111.17500019</c:v>
                </c:pt>
                <c:pt idx="4">
                  <c:v>351507199.44197166</c:v>
                </c:pt>
                <c:pt idx="5">
                  <c:v>406537854.63893872</c:v>
                </c:pt>
                <c:pt idx="6">
                  <c:v>491410150.7715143</c:v>
                </c:pt>
                <c:pt idx="7">
                  <c:v>564044519.50131726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E9-438B-B0FE-21BCCD2BC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304671"/>
        <c:axId val="80303711"/>
      </c:scatterChart>
      <c:valAx>
        <c:axId val="8030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2166AC">
                  <a:alpha val="3000"/>
                </a:srgb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80303711"/>
        <c:crosses val="autoZero"/>
        <c:crossBetween val="midCat"/>
      </c:valAx>
      <c:valAx>
        <c:axId val="80303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2166AC">
                  <a:alpha val="18000"/>
                </a:srgb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803046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17583</xdr:rowOff>
    </xdr:from>
    <xdr:to>
      <xdr:col>5</xdr:col>
      <xdr:colOff>949568</xdr:colOff>
      <xdr:row>39</xdr:row>
      <xdr:rowOff>128953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D0B764-A6C9-10BE-E3D4-688255B98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1213337</xdr:colOff>
      <xdr:row>17</xdr:row>
      <xdr:rowOff>181709</xdr:rowOff>
    </xdr:from>
    <xdr:to>
      <xdr:col>11</xdr:col>
      <xdr:colOff>515814</xdr:colOff>
      <xdr:row>39</xdr:row>
      <xdr:rowOff>117231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470710-6041-F2AD-3C9D-32764BD0AB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1143000</xdr:colOff>
      <xdr:row>7</xdr:row>
      <xdr:rowOff>45943</xdr:rowOff>
    </xdr:from>
    <xdr:to>
      <xdr:col>6</xdr:col>
      <xdr:colOff>190499</xdr:colOff>
      <xdr:row>28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64556E-B111-7DF6-C562-2C213C7A0B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iencedirect.com/science/article/pii/S0973082625002261" TargetMode="External"/><Relationship Id="rId3" Type="http://schemas.openxmlformats.org/officeDocument/2006/relationships/hyperlink" Target="https://energyalliance.org/wp-content/uploads/2026/06/1.-Structuring-For-The-Last-Mile-Full-Report.pdf" TargetMode="External"/><Relationship Id="rId7" Type="http://schemas.openxmlformats.org/officeDocument/2006/relationships/hyperlink" Target="https://www.oanda.com/currency-converter/en/?from=USD&amp;to=KES&amp;amount=1" TargetMode="External"/><Relationship Id="rId2" Type="http://schemas.openxmlformats.org/officeDocument/2006/relationships/hyperlink" Target="https://energyalliance.org/wp-content/uploads/2026/06/1.-Structuring-For-The-Last-Mile-Full-Report.pdf" TargetMode="External"/><Relationship Id="rId1" Type="http://schemas.openxmlformats.org/officeDocument/2006/relationships/hyperlink" Target="https://www.sciencedirect.com/topics/engineering/capital-recovery-factor" TargetMode="External"/><Relationship Id="rId6" Type="http://schemas.openxmlformats.org/officeDocument/2006/relationships/hyperlink" Target="https://energyalliance.org/wp-content/uploads/2026/06/1.-Structuring-For-The-Last-Mile-Full-Report.pdf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s://energyalliance.org/wp-content/uploads/2026/06/1.-Structuring-For-The-Last-Mile-Full-Report.pdf" TargetMode="External"/><Relationship Id="rId10" Type="http://schemas.openxmlformats.org/officeDocument/2006/relationships/hyperlink" Target="https://www.epra.go.ke/sites/default/files/2024-12/Power%20Market%20Study%20MAI%20Final%20Report%20-%20171121_compressed.pdf" TargetMode="External"/><Relationship Id="rId4" Type="http://schemas.openxmlformats.org/officeDocument/2006/relationships/hyperlink" Target="https://efficiencyforaccess.org/publications/lighting-a-path-to-affordability/" TargetMode="External"/><Relationship Id="rId9" Type="http://schemas.openxmlformats.org/officeDocument/2006/relationships/hyperlink" Target="https://www.erb.org.zm/wp-content/uploads/files/CoSS/Cost-of-Service-Study-Task-5-Determination-of-Economic-Cost-of-Supply-and-Structure-and-Level-of-Tariffs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93D6A-0F49-4F01-BEF6-3068FAF44605}">
  <sheetPr codeName="Sheet1"/>
  <dimension ref="A1:Q15"/>
  <sheetViews>
    <sheetView topLeftCell="A7" zoomScale="65" workbookViewId="0">
      <selection activeCell="E17" sqref="E17"/>
    </sheetView>
  </sheetViews>
  <sheetFormatPr defaultRowHeight="14.4" x14ac:dyDescent="0.3"/>
  <cols>
    <col min="1" max="1" width="22.5546875" bestFit="1" customWidth="1"/>
    <col min="2" max="2" width="14.5546875" bestFit="1" customWidth="1"/>
    <col min="3" max="3" width="15.44140625" bestFit="1" customWidth="1"/>
    <col min="4" max="4" width="15.33203125" customWidth="1"/>
    <col min="5" max="5" width="36" customWidth="1"/>
    <col min="6" max="6" width="18.5546875" customWidth="1"/>
    <col min="7" max="7" width="22" bestFit="1" customWidth="1"/>
    <col min="8" max="8" width="17.44140625" customWidth="1"/>
    <col min="9" max="9" width="21.44140625" bestFit="1" customWidth="1"/>
    <col min="10" max="10" width="20.44140625" customWidth="1"/>
    <col min="11" max="12" width="15.44140625" bestFit="1" customWidth="1"/>
    <col min="13" max="13" width="17" bestFit="1" customWidth="1"/>
    <col min="14" max="17" width="9" bestFit="1" customWidth="1"/>
  </cols>
  <sheetData>
    <row r="1" spans="1:17" ht="15.6" x14ac:dyDescent="0.3">
      <c r="A1" s="100" t="s">
        <v>197</v>
      </c>
      <c r="B1" s="100"/>
      <c r="C1" s="100"/>
      <c r="D1" s="100"/>
      <c r="E1" s="100"/>
      <c r="F1" s="100"/>
      <c r="G1" s="100"/>
      <c r="H1" s="100"/>
      <c r="I1" s="100"/>
      <c r="J1" s="100"/>
    </row>
    <row r="3" spans="1:17" x14ac:dyDescent="0.3">
      <c r="A3" s="78" t="s">
        <v>194</v>
      </c>
      <c r="B3" s="77" t="s">
        <v>3</v>
      </c>
      <c r="C3" s="78" t="s">
        <v>50</v>
      </c>
      <c r="D3" s="77">
        <v>2025</v>
      </c>
      <c r="E3" s="79" t="s">
        <v>233</v>
      </c>
      <c r="F3" s="77" t="str">
        <f>Assumptions!B104</f>
        <v>Lower Bound</v>
      </c>
      <c r="G3" s="79" t="s">
        <v>198</v>
      </c>
      <c r="H3" s="77" t="str">
        <f>Assumptions!B105</f>
        <v>Lower Bound</v>
      </c>
    </row>
    <row r="5" spans="1:17" x14ac:dyDescent="0.3">
      <c r="A5" s="101" t="s">
        <v>195</v>
      </c>
      <c r="B5" s="102"/>
      <c r="C5" s="101" t="s">
        <v>212</v>
      </c>
      <c r="D5" s="102"/>
      <c r="E5" s="101" t="s">
        <v>213</v>
      </c>
      <c r="F5" s="102"/>
      <c r="G5" s="101" t="s">
        <v>46</v>
      </c>
      <c r="H5" s="102"/>
      <c r="I5" s="101" t="s">
        <v>196</v>
      </c>
      <c r="J5" s="102"/>
    </row>
    <row r="6" spans="1:17" x14ac:dyDescent="0.3">
      <c r="A6" s="103" cm="1">
        <f t="array" aca="1" ref="A6" ca="1">INDIRECT("'Model_"&amp;$B$3&amp;"_"&amp;$D$3&amp;"'!$M$4")</f>
        <v>1422726.916</v>
      </c>
      <c r="B6" s="104"/>
      <c r="C6" s="107" cm="1">
        <f t="array" aca="1" ref="C6" ca="1">INDIRECT("'Model_"&amp;$B$3&amp;"_"&amp;$D$3&amp;"'!M11")</f>
        <v>694475822.33165264</v>
      </c>
      <c r="D6" s="108"/>
      <c r="E6" s="107" cm="1">
        <f t="array" aca="1" ref="E6" ca="1">INDIRECT("'Model_"&amp;$B$3&amp;"_"&amp;$D$3&amp;"'!M"&amp;IF(D3=2020,IF(B3="Kenya",50,51),IF(B3="Kenya",48,49)))</f>
        <v>586799461.77278185</v>
      </c>
      <c r="F6" s="108"/>
      <c r="G6" s="107" cm="1">
        <f t="array" aca="1" ref="G6" ca="1">INDIRECT("'Model_"&amp;$B$3&amp;"_"&amp;$D$3&amp;"'!M14")</f>
        <v>498701243.15384245</v>
      </c>
      <c r="H6" s="108"/>
      <c r="I6" s="107" cm="1">
        <f t="array" aca="1" ref="I6" ca="1">INDIRECT("'Model_"&amp;$B$3&amp;"_"&amp;$D$3&amp;"'!M"&amp;IF($B$3="Kenya",22,23))</f>
        <v>288001400</v>
      </c>
      <c r="J6" s="108"/>
    </row>
    <row r="7" spans="1:17" x14ac:dyDescent="0.3">
      <c r="A7" s="105"/>
      <c r="B7" s="106"/>
      <c r="C7" s="109"/>
      <c r="D7" s="110"/>
      <c r="E7" s="109"/>
      <c r="F7" s="110"/>
      <c r="G7" s="109"/>
      <c r="H7" s="110"/>
      <c r="I7" s="109"/>
      <c r="J7" s="110"/>
    </row>
    <row r="11" spans="1:17" x14ac:dyDescent="0.3">
      <c r="A11" s="80" t="s">
        <v>50</v>
      </c>
      <c r="B11" cm="1">
        <f t="array" aca="1" ref="B11" ca="1">INDIRECT("'Model_"&amp;$B$3&amp;"_"&amp;$D$3&amp;"'!"&amp;ADDRESS(3,COLUMN(),4))</f>
        <v>2025</v>
      </c>
      <c r="C11" cm="1">
        <f t="array" aca="1" ref="C11" ca="1">INDIRECT("'Model_"&amp;$B$3&amp;"_"&amp;$D$3&amp;"'!"&amp;ADDRESS(3,COLUMN(),4))</f>
        <v>2026</v>
      </c>
      <c r="D11" cm="1">
        <f t="array" aca="1" ref="D11" ca="1">INDIRECT("'Model_"&amp;$B$3&amp;"_"&amp;$D$3&amp;"'!"&amp;ADDRESS(3,COLUMN(),4))</f>
        <v>2027</v>
      </c>
      <c r="E11" cm="1">
        <f t="array" aca="1" ref="E11" ca="1">INDIRECT("'Model_"&amp;$B$3&amp;"_"&amp;$D$3&amp;"'!"&amp;ADDRESS(3,COLUMN(),4))</f>
        <v>2028</v>
      </c>
      <c r="F11" cm="1">
        <f t="array" aca="1" ref="F11" ca="1">INDIRECT("'Model_"&amp;$B$3&amp;"_"&amp;$D$3&amp;"'!"&amp;ADDRESS(3,COLUMN(),4))</f>
        <v>2029</v>
      </c>
      <c r="G11" cm="1">
        <f t="array" aca="1" ref="G11" ca="1">INDIRECT("'Model_"&amp;$B$3&amp;"_"&amp;$D$3&amp;"'!"&amp;ADDRESS(3,COLUMN(),4))</f>
        <v>2030</v>
      </c>
      <c r="H11" cm="1">
        <f t="array" aca="1" ref="H11" ca="1">INDIRECT("'Model_"&amp;$B$3&amp;"_"&amp;$D$3&amp;"'!"&amp;ADDRESS(3,COLUMN(),4))</f>
        <v>2031</v>
      </c>
      <c r="I11" cm="1">
        <f t="array" aca="1" ref="I11" ca="1">INDIRECT("'Model_"&amp;$B$3&amp;"_"&amp;$D$3&amp;"'!"&amp;ADDRESS(3,COLUMN(),4))</f>
        <v>2032</v>
      </c>
      <c r="J11" cm="1">
        <f t="array" aca="1" ref="J11" ca="1">INDIRECT("'Model_"&amp;$B$3&amp;"_"&amp;$D$3&amp;"'!"&amp;ADDRESS(3,COLUMN(),4))</f>
        <v>2033</v>
      </c>
      <c r="K11" cm="1">
        <f t="array" aca="1" ref="K11" ca="1">INDIRECT("'Model_"&amp;$B$3&amp;"_"&amp;$D$3&amp;"'!"&amp;ADDRESS(3,COLUMN(),4))</f>
        <v>2034</v>
      </c>
      <c r="L11" cm="1">
        <f t="array" aca="1" ref="L11" ca="1">INDIRECT("'Model_"&amp;$B$3&amp;"_"&amp;$D$3&amp;"'!"&amp;ADDRESS(3,COLUMN(),4))</f>
        <v>2035</v>
      </c>
    </row>
    <row r="12" spans="1:17" x14ac:dyDescent="0.3">
      <c r="A12" t="s">
        <v>202</v>
      </c>
      <c r="B12" s="16" cm="1">
        <f t="array" aca="1" ref="B12" ca="1">INDIRECT("'Model_"&amp;$B$3&amp;"_"&amp;$D$3&amp;"'!"&amp;ADDRESS(11,COLUMN(),4))</f>
        <v>0</v>
      </c>
      <c r="C12" s="16" cm="1">
        <f t="array" aca="1" ref="C12" ca="1">INDIRECT("'Model_"&amp;$B$3&amp;"_"&amp;$D$3&amp;"'!"&amp;ADDRESS(11,COLUMN(),4))</f>
        <v>16413796.213326309</v>
      </c>
      <c r="D12" s="16" cm="1">
        <f t="array" aca="1" ref="D12" ca="1">INDIRECT("'Model_"&amp;$B$3&amp;"_"&amp;$D$3&amp;"'!"&amp;ADDRESS(11,COLUMN(),4))</f>
        <v>37015884.48503603</v>
      </c>
      <c r="E12" s="16" cm="1">
        <f t="array" aca="1" ref="E12" ca="1">INDIRECT("'Model_"&amp;$B$3&amp;"_"&amp;$D$3&amp;"'!"&amp;ADDRESS(11,COLUMN(),4))</f>
        <v>57617972.756745756</v>
      </c>
      <c r="F12" s="16" cm="1">
        <f t="array" aca="1" ref="F12" ca="1">INDIRECT("'Model_"&amp;$B$3&amp;"_"&amp;$D$3&amp;"'!"&amp;ADDRESS(11,COLUMN(),4))</f>
        <v>74031768.970072046</v>
      </c>
      <c r="G12" s="16" cm="1">
        <f t="array" aca="1" ref="G12" ca="1">INDIRECT("'Model_"&amp;$B$3&amp;"_"&amp;$D$3&amp;"'!"&amp;ADDRESS(11,COLUMN(),4))</f>
        <v>84899399.984412089</v>
      </c>
      <c r="H12" s="16" cm="1">
        <f t="array" aca="1" ref="H12" ca="1">INDIRECT("'Model_"&amp;$B$3&amp;"_"&amp;$D$3&amp;"'!"&amp;ADDRESS(11,COLUMN(),4))</f>
        <v>84899399.984412089</v>
      </c>
      <c r="I12" s="16" cm="1">
        <f t="array" aca="1" ref="I12" ca="1">INDIRECT("'Model_"&amp;$B$3&amp;"_"&amp;$D$3&amp;"'!"&amp;ADDRESS(11,COLUMN(),4))</f>
        <v>84899399.984412089</v>
      </c>
      <c r="J12" s="16" cm="1">
        <f t="array" aca="1" ref="J12" ca="1">INDIRECT("'Model_"&amp;$B$3&amp;"_"&amp;$D$3&amp;"'!"&amp;ADDRESS(11,COLUMN(),4))</f>
        <v>84899399.984412089</v>
      </c>
      <c r="K12" s="16" cm="1">
        <f t="array" aca="1" ref="K12" ca="1">INDIRECT("'Model_"&amp;$B$3&amp;"_"&amp;$D$3&amp;"'!"&amp;ADDRESS(11,COLUMN(),4))</f>
        <v>84899399.984412089</v>
      </c>
      <c r="L12" s="16" cm="1">
        <f t="array" aca="1" ref="L12" ca="1">INDIRECT("'Model_"&amp;$B$3&amp;"_"&amp;$D$3&amp;"'!"&amp;ADDRESS(11,COLUMN(),4))</f>
        <v>84899399.984412089</v>
      </c>
      <c r="M12" s="16"/>
      <c r="N12" s="16"/>
      <c r="O12" s="16"/>
      <c r="P12" s="16"/>
      <c r="Q12" s="16"/>
    </row>
    <row r="13" spans="1:17" x14ac:dyDescent="0.3">
      <c r="A13" t="s">
        <v>199</v>
      </c>
      <c r="B13" s="16" cm="1">
        <f t="array" aca="1" ref="B13" ca="1">INDIRECT("'Model_"&amp;$B$3&amp;"_"&amp;$D$3&amp;"'!"&amp;ADDRESS(IF($D$3=2020,IF($B$3="Kenya",50,51),IF($B$3="Kenya",48,49)),COLUMN(),4))</f>
        <v>0</v>
      </c>
      <c r="C13" s="16" cm="1">
        <f t="array" aca="1" ref="C13" ca="1">INDIRECT("'Model_"&amp;$B$3&amp;"_"&amp;$D$3&amp;"'!"&amp;ADDRESS(IF($D$3=2020,IF($B$3="Kenya",50,51),IF($B$3="Kenya",48,49)),COLUMN(),4))</f>
        <v>39331822.897535443</v>
      </c>
      <c r="D13" s="16" cm="1">
        <f t="array" aca="1" ref="D13" ca="1">INDIRECT("'Model_"&amp;$B$3&amp;"_"&amp;$D$3&amp;"'!"&amp;ADDRESS(IF($D$3=2020,IF($B$3="Kenya",50,51),IF($B$3="Kenya",48,49)),COLUMN(),4))</f>
        <v>73088380.522676617</v>
      </c>
      <c r="E13" s="16" cm="1">
        <f t="array" aca="1" ref="E13" ca="1">INDIRECT("'Model_"&amp;$B$3&amp;"_"&amp;$D$3&amp;"'!"&amp;ADDRESS(IF($D$3=2020,IF($B$3="Kenya",50,51),IF($B$3="Kenya",48,49)),COLUMN(),4))</f>
        <v>79141064.735296339</v>
      </c>
      <c r="F13" s="16" cm="1">
        <f t="array" aca="1" ref="F13" ca="1">INDIRECT("'Model_"&amp;$B$3&amp;"_"&amp;$D$3&amp;"'!"&amp;ADDRESS(IF($D$3=2020,IF($B$3="Kenya",50,51),IF($B$3="Kenya",48,49)),COLUMN(),4))</f>
        <v>69104802.596879795</v>
      </c>
      <c r="G13" s="16" cm="1">
        <f t="array" aca="1" ref="G13" ca="1">INDIRECT("'Model_"&amp;$B$3&amp;"_"&amp;$D$3&amp;"'!"&amp;ADDRESS(IF($D$3=2020,IF($B$3="Kenya",50,51),IF($B$3="Kenya",48,49)),COLUMN(),4))</f>
        <v>49762030.915652782</v>
      </c>
      <c r="H13" s="16" cm="1">
        <f t="array" aca="1" ref="H13" ca="1">INDIRECT("'Model_"&amp;$B$3&amp;"_"&amp;$D$3&amp;"'!"&amp;ADDRESS(IF($D$3=2020,IF($B$3="Kenya",50,51),IF($B$3="Kenya",48,49)),COLUMN(),4))</f>
        <v>15705289.352352621</v>
      </c>
      <c r="I13" s="16" cm="1">
        <f t="array" aca="1" ref="I13" ca="1">INDIRECT("'Model_"&amp;$B$3&amp;"_"&amp;$D$3&amp;"'!"&amp;ADDRESS(IF($D$3=2020,IF($B$3="Kenya",50,51),IF($B$3="Kenya",48,49)),COLUMN(),4))</f>
        <v>39331822.897535443</v>
      </c>
      <c r="J13" s="16" cm="1">
        <f t="array" aca="1" ref="J13" ca="1">INDIRECT("'Model_"&amp;$B$3&amp;"_"&amp;$D$3&amp;"'!"&amp;ADDRESS(IF($D$3=2020,IF($B$3="Kenya",50,51),IF($B$3="Kenya",48,49)),COLUMN(),4))</f>
        <v>73088380.522676617</v>
      </c>
      <c r="K13" s="16" cm="1">
        <f t="array" aca="1" ref="K13" ca="1">INDIRECT("'Model_"&amp;$B$3&amp;"_"&amp;$D$3&amp;"'!"&amp;ADDRESS(IF($D$3=2020,IF($B$3="Kenya",50,51),IF($B$3="Kenya",48,49)),COLUMN(),4))</f>
        <v>79141064.735296339</v>
      </c>
      <c r="L13" s="16" cm="1">
        <f t="array" aca="1" ref="L13" ca="1">INDIRECT("'Model_"&amp;$B$3&amp;"_"&amp;$D$3&amp;"'!"&amp;ADDRESS(IF($D$3=2020,IF($B$3="Kenya",50,51),IF($B$3="Kenya",48,49)),COLUMN(),4))</f>
        <v>69104802.596879795</v>
      </c>
      <c r="M13" s="16"/>
    </row>
    <row r="14" spans="1:17" x14ac:dyDescent="0.3">
      <c r="A14" s="81" t="s">
        <v>203</v>
      </c>
      <c r="B14" s="82" cm="1">
        <f t="array" aca="1" ref="B14" ca="1">INDIRECT("'Model_"&amp;$B$3&amp;"_"&amp;$D$3&amp;"'!"&amp;ADDRESS(15,COLUMN(),4))</f>
        <v>0</v>
      </c>
      <c r="C14" s="82" cm="1">
        <f t="array" aca="1" ref="C14" ca="1">INDIRECT("'Model_"&amp;$B$3&amp;"_"&amp;$D$3&amp;"'!"&amp;ADDRESS(15,COLUMN(),4))</f>
        <v>0.41016318002922758</v>
      </c>
      <c r="D14" s="82" cm="1">
        <f t="array" aca="1" ref="D14" ca="1">INDIRECT("'Model_"&amp;$B$3&amp;"_"&amp;$D$3&amp;"'!"&amp;ADDRESS(15,COLUMN(),4))</f>
        <v>0.89758848699684712</v>
      </c>
      <c r="E14" s="82" cm="1">
        <f t="array" aca="1" ref="E14" ca="1">INDIRECT("'Model_"&amp;$B$3&amp;"_"&amp;$D$3&amp;"'!"&amp;ADDRESS(15,COLUMN(),4))</f>
        <v>1.3557781295658429</v>
      </c>
      <c r="F14" s="82" cm="1">
        <f t="array" aca="1" ref="F14" ca="1">INDIRECT("'Model_"&amp;$B$3&amp;"_"&amp;$D$3&amp;"'!"&amp;ADDRESS(15,COLUMN(),4))</f>
        <v>1.6904031161349506</v>
      </c>
      <c r="G14" s="82" cm="1">
        <f t="array" aca="1" ref="G14" ca="1">INDIRECT("'Model_"&amp;$B$3&amp;"_"&amp;$D$3&amp;"'!"&amp;ADDRESS(15,COLUMN(),4))</f>
        <v>1.8811277343461099</v>
      </c>
      <c r="H14" s="82" cm="1">
        <f t="array" aca="1" ref="H14" ca="1">INDIRECT("'Model_"&amp;$B$3&amp;"_"&amp;$D$3&amp;"'!"&amp;ADDRESS(15,COLUMN(),4))</f>
        <v>1.8254073473404924</v>
      </c>
      <c r="I14" s="82" cm="1">
        <f t="array" aca="1" ref="I14" ca="1">INDIRECT("'Model_"&amp;$B$3&amp;"_"&amp;$D$3&amp;"'!"&amp;ADDRESS(15,COLUMN(),4))</f>
        <v>1.7713374391786922</v>
      </c>
      <c r="J14" s="82" cm="1">
        <f t="array" aca="1" ref="J14" ca="1">INDIRECT("'Model_"&amp;$B$3&amp;"_"&amp;$D$3&amp;"'!"&amp;ADDRESS(15,COLUMN(),4))</f>
        <v>1.7188691214634766</v>
      </c>
      <c r="K14" s="82" cm="1">
        <f t="array" aca="1" ref="K14" ca="1">INDIRECT("'Model_"&amp;$B$3&amp;"_"&amp;$D$3&amp;"'!"&amp;ADDRESS(15,COLUMN(),4))</f>
        <v>1.6679549539078946</v>
      </c>
      <c r="L14" s="82" cm="1">
        <f t="array" aca="1" ref="L14" ca="1">INDIRECT("'Model_"&amp;$B$3&amp;"_"&amp;$D$3&amp;"'!"&amp;ADDRESS(15,COLUMN(),4))</f>
        <v>1.618548901441186</v>
      </c>
      <c r="M14" s="82"/>
    </row>
    <row r="15" spans="1:17" x14ac:dyDescent="0.3">
      <c r="A15" t="s">
        <v>46</v>
      </c>
      <c r="B15" s="16" cm="1">
        <f t="array" aca="1" ref="B15" ca="1">INDIRECT("'Model_"&amp;$B$3&amp;"_"&amp;$D$3&amp;"'!"&amp;ADDRESS(14,COLUMN(),4))</f>
        <v>38832367.879746832</v>
      </c>
      <c r="C15" s="16" cm="1">
        <f t="array" aca="1" ref="C15" ca="1">INDIRECT("'Model_"&amp;$B$3&amp;"_"&amp;$D$3&amp;"'!"&amp;ADDRESS(14,COLUMN(),4))</f>
        <v>40017722.244489834</v>
      </c>
      <c r="D15" s="16" cm="1">
        <f t="array" aca="1" ref="D15" ca="1">INDIRECT("'Model_"&amp;$B$3&amp;"_"&amp;$D$3&amp;"'!"&amp;ADDRESS(14,COLUMN(),4))</f>
        <v>41239259.439349353</v>
      </c>
      <c r="E15" s="16" cm="1">
        <f t="array" aca="1" ref="E15" ca="1">INDIRECT("'Model_"&amp;$B$3&amp;"_"&amp;$D$3&amp;"'!"&amp;ADDRESS(14,COLUMN(),4))</f>
        <v>42498083.941799976</v>
      </c>
      <c r="F15" s="16" cm="1">
        <f t="array" aca="1" ref="F15" ca="1">INDIRECT("'Model_"&amp;$B$3&amp;"_"&amp;$D$3&amp;"'!"&amp;ADDRESS(14,COLUMN(),4))</f>
        <v>43795333.943386935</v>
      </c>
      <c r="G15" s="16" cm="1">
        <f t="array" aca="1" ref="G15" ca="1">INDIRECT("'Model_"&amp;$B$3&amp;"_"&amp;$D$3&amp;"'!"&amp;ADDRESS(14,COLUMN(),4))</f>
        <v>45132182.378844984</v>
      </c>
      <c r="H15" s="16" cm="1">
        <f t="array" aca="1" ref="H15" ca="1">INDIRECT("'Model_"&amp;$B$3&amp;"_"&amp;$D$3&amp;"'!"&amp;ADDRESS(14,COLUMN(),4))</f>
        <v>46509837.986630961</v>
      </c>
      <c r="I15" s="16" cm="1">
        <f t="array" aca="1" ref="I15" ca="1">INDIRECT("'Model_"&amp;$B$3&amp;"_"&amp;$D$3&amp;"'!"&amp;ADDRESS(14,COLUMN(),4))</f>
        <v>47929546.401829004</v>
      </c>
      <c r="J15" s="16" cm="1">
        <f t="array" aca="1" ref="J15" ca="1">INDIRECT("'Model_"&amp;$B$3&amp;"_"&amp;$D$3&amp;"'!"&amp;ADDRESS(14,COLUMN(),4))</f>
        <v>49392591.282416657</v>
      </c>
      <c r="K15" s="16" cm="1">
        <f t="array" aca="1" ref="K15" ca="1">INDIRECT("'Model_"&amp;$B$3&amp;"_"&amp;$D$3&amp;"'!"&amp;ADDRESS(14,COLUMN(),4))</f>
        <v>50900295.469910085</v>
      </c>
      <c r="L15" s="16" cm="1">
        <f t="array" aca="1" ref="L15" ca="1">INDIRECT("'Model_"&amp;$B$3&amp;"_"&amp;$D$3&amp;"'!"&amp;ADDRESS(14,COLUMN(),4))</f>
        <v>52454022.185437888</v>
      </c>
      <c r="M15" s="16"/>
    </row>
  </sheetData>
  <mergeCells count="11">
    <mergeCell ref="A1:J1"/>
    <mergeCell ref="A5:B5"/>
    <mergeCell ref="A6:B7"/>
    <mergeCell ref="C5:D5"/>
    <mergeCell ref="C6:D7"/>
    <mergeCell ref="E6:F7"/>
    <mergeCell ref="G6:H7"/>
    <mergeCell ref="I6:J7"/>
    <mergeCell ref="E5:F5"/>
    <mergeCell ref="G5:H5"/>
    <mergeCell ref="I5:J5"/>
  </mergeCells>
  <dataValidations count="2">
    <dataValidation type="list" allowBlank="1" showInputMessage="1" showErrorMessage="1" sqref="B3" xr:uid="{1EDE032E-1C44-4395-85C2-6E1B86935096}">
      <formula1>"Kenya, Zambia"</formula1>
    </dataValidation>
    <dataValidation type="list" allowBlank="1" showInputMessage="1" showErrorMessage="1" sqref="D3" xr:uid="{414D3665-7513-4507-A252-37EE843E76A0}">
      <formula1>"2020, 2025"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06FA5-9081-44D3-AEE8-55666F2DFEA3}">
  <sheetPr codeName="Sheet2"/>
  <dimension ref="A1:P137"/>
  <sheetViews>
    <sheetView topLeftCell="E42" zoomScale="55" zoomScaleNormal="80" workbookViewId="0">
      <selection activeCell="C130" sqref="C130"/>
    </sheetView>
  </sheetViews>
  <sheetFormatPr defaultRowHeight="14.4" x14ac:dyDescent="0.3"/>
  <cols>
    <col min="1" max="1" width="41.21875" customWidth="1"/>
    <col min="2" max="2" width="35" customWidth="1"/>
    <col min="3" max="3" width="41.77734375" customWidth="1"/>
    <col min="4" max="4" width="62.21875" customWidth="1"/>
    <col min="5" max="5" width="96" customWidth="1"/>
    <col min="6" max="6" width="47.88671875" bestFit="1" customWidth="1"/>
    <col min="7" max="7" width="22.5546875" customWidth="1"/>
    <col min="8" max="8" width="19.33203125" bestFit="1" customWidth="1"/>
    <col min="9" max="9" width="21.6640625" bestFit="1" customWidth="1"/>
    <col min="10" max="10" width="24.88671875" customWidth="1"/>
    <col min="11" max="11" width="14" customWidth="1"/>
    <col min="13" max="16" width="20.109375" bestFit="1" customWidth="1"/>
  </cols>
  <sheetData>
    <row r="1" spans="1:5" x14ac:dyDescent="0.3">
      <c r="A1" s="111" t="s">
        <v>0</v>
      </c>
      <c r="B1" s="111"/>
      <c r="C1" s="111"/>
      <c r="D1" s="111"/>
      <c r="E1" s="111"/>
    </row>
    <row r="2" spans="1:5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</row>
    <row r="3" spans="1:5" x14ac:dyDescent="0.3">
      <c r="A3" s="2" t="s">
        <v>18</v>
      </c>
      <c r="B3" s="2"/>
      <c r="C3" s="2"/>
      <c r="D3" s="2"/>
      <c r="E3" s="3"/>
    </row>
    <row r="4" spans="1:5" ht="28.8" x14ac:dyDescent="0.3">
      <c r="A4" s="21" t="s">
        <v>11</v>
      </c>
      <c r="B4" s="22">
        <v>8603174</v>
      </c>
      <c r="C4" s="22">
        <v>10915936</v>
      </c>
      <c r="D4" s="23" t="s">
        <v>314</v>
      </c>
      <c r="E4" s="24" t="s">
        <v>6</v>
      </c>
    </row>
    <row r="5" spans="1:5" ht="71.400000000000006" customHeight="1" x14ac:dyDescent="0.3">
      <c r="A5" s="21" t="s">
        <v>7</v>
      </c>
      <c r="B5" s="25">
        <v>3.5</v>
      </c>
      <c r="C5" s="25">
        <v>5.3</v>
      </c>
      <c r="D5" s="26" t="s">
        <v>8</v>
      </c>
      <c r="E5" s="24" t="s">
        <v>75</v>
      </c>
    </row>
    <row r="6" spans="1:5" x14ac:dyDescent="0.3">
      <c r="A6" s="21" t="s">
        <v>9</v>
      </c>
      <c r="B6" s="27">
        <f>B4/$B$5</f>
        <v>2458049.7142857141</v>
      </c>
      <c r="C6" s="27">
        <f>C4/$C$5</f>
        <v>2059610.5660377359</v>
      </c>
      <c r="D6" s="26" t="s">
        <v>113</v>
      </c>
      <c r="E6" s="17">
        <f>C6-Model_Zambia_2020!$M$20</f>
        <v>619603.5660377359</v>
      </c>
    </row>
    <row r="7" spans="1:5" ht="86.4" x14ac:dyDescent="0.3">
      <c r="A7" s="32" t="s">
        <v>143</v>
      </c>
      <c r="B7" s="49">
        <v>1200000</v>
      </c>
      <c r="C7" s="49">
        <f>$E$6</f>
        <v>619603.5660377359</v>
      </c>
      <c r="D7" s="26" t="s">
        <v>157</v>
      </c>
      <c r="E7" s="29" t="s">
        <v>215</v>
      </c>
    </row>
    <row r="8" spans="1:5" ht="45" customHeight="1" x14ac:dyDescent="0.3">
      <c r="A8" s="21" t="s">
        <v>98</v>
      </c>
      <c r="B8" s="85">
        <v>0.68400000000000005</v>
      </c>
      <c r="C8" s="85">
        <v>0.154</v>
      </c>
      <c r="D8" s="26" t="s">
        <v>321</v>
      </c>
      <c r="E8" s="29" t="s">
        <v>12</v>
      </c>
    </row>
    <row r="9" spans="1:5" ht="56.4" customHeight="1" x14ac:dyDescent="0.3">
      <c r="A9" s="21" t="s">
        <v>99</v>
      </c>
      <c r="B9" s="85">
        <v>0.309</v>
      </c>
      <c r="C9" s="85">
        <v>1.2E-2</v>
      </c>
      <c r="D9" s="26" t="s">
        <v>320</v>
      </c>
      <c r="E9" s="29" t="s">
        <v>12</v>
      </c>
    </row>
    <row r="10" spans="1:5" ht="30" customHeight="1" x14ac:dyDescent="0.3">
      <c r="A10" s="27" t="s">
        <v>231</v>
      </c>
      <c r="B10" s="71">
        <f>B6*(1-$B$8)</f>
        <v>776743.70971428556</v>
      </c>
      <c r="C10" s="71">
        <f>C6*(1-$C$8)</f>
        <v>1742430.5388679246</v>
      </c>
      <c r="D10" s="26" t="s">
        <v>13</v>
      </c>
    </row>
    <row r="11" spans="1:5" ht="30" customHeight="1" x14ac:dyDescent="0.3">
      <c r="A11" s="27" t="s">
        <v>232</v>
      </c>
      <c r="B11" s="71">
        <f>B6*(1-$B$9)</f>
        <v>1698512.3525714285</v>
      </c>
      <c r="C11" s="71">
        <f>C6*(1-$C$9)</f>
        <v>2034895.239245283</v>
      </c>
      <c r="D11" s="26" t="s">
        <v>13</v>
      </c>
    </row>
    <row r="12" spans="1:5" ht="30" customHeight="1" x14ac:dyDescent="0.3">
      <c r="A12" s="27" t="s">
        <v>152</v>
      </c>
      <c r="B12" s="71">
        <f>(B6-B7)*(1-$B$8)</f>
        <v>397543.70971428556</v>
      </c>
      <c r="C12" s="71">
        <f>(C6-C7)*(1-$C$8)</f>
        <v>1218245.922</v>
      </c>
      <c r="D12" s="26" t="s">
        <v>13</v>
      </c>
    </row>
    <row r="13" spans="1:5" ht="30" customHeight="1" x14ac:dyDescent="0.3">
      <c r="A13" s="27" t="s">
        <v>153</v>
      </c>
      <c r="B13" s="71">
        <f>(B6-B7)*(1-$B$9)</f>
        <v>869312.35257142852</v>
      </c>
      <c r="C13" s="71">
        <f>(C6-C7)*(1-$C$9)</f>
        <v>1422726.916</v>
      </c>
      <c r="D13" s="26" t="s">
        <v>13</v>
      </c>
    </row>
    <row r="14" spans="1:5" ht="30" customHeight="1" x14ac:dyDescent="0.3">
      <c r="A14" s="27" t="s">
        <v>216</v>
      </c>
      <c r="B14" s="72">
        <v>72</v>
      </c>
      <c r="C14" s="72">
        <v>72</v>
      </c>
      <c r="D14" s="26"/>
      <c r="E14" s="29" t="s">
        <v>166</v>
      </c>
    </row>
    <row r="15" spans="1:5" x14ac:dyDescent="0.3">
      <c r="A15" s="2" t="s">
        <v>19</v>
      </c>
      <c r="B15" s="2"/>
      <c r="C15" s="2"/>
      <c r="D15" s="2"/>
      <c r="E15" s="3"/>
    </row>
    <row r="16" spans="1:5" ht="58.2" customHeight="1" x14ac:dyDescent="0.3">
      <c r="A16" s="21" t="s">
        <v>14</v>
      </c>
      <c r="B16" s="70">
        <v>209</v>
      </c>
      <c r="C16" s="7">
        <v>200</v>
      </c>
      <c r="D16" s="26" t="s">
        <v>15</v>
      </c>
      <c r="E16" s="29" t="s">
        <v>76</v>
      </c>
    </row>
    <row r="17" spans="1:5" x14ac:dyDescent="0.3">
      <c r="A17" s="21" t="s">
        <v>16</v>
      </c>
      <c r="B17" s="7">
        <v>186</v>
      </c>
      <c r="C17" s="7">
        <v>186</v>
      </c>
      <c r="D17" s="26" t="s">
        <v>217</v>
      </c>
      <c r="E17" s="29" t="s">
        <v>17</v>
      </c>
    </row>
    <row r="18" spans="1:5" x14ac:dyDescent="0.3">
      <c r="A18" s="21" t="s">
        <v>20</v>
      </c>
      <c r="B18" s="9">
        <v>0.152</v>
      </c>
      <c r="C18" s="9">
        <v>0.17399999999999999</v>
      </c>
      <c r="D18" s="26" t="s">
        <v>28</v>
      </c>
      <c r="E18" s="29" t="s">
        <v>29</v>
      </c>
    </row>
    <row r="19" spans="1:5" ht="43.2" x14ac:dyDescent="0.3">
      <c r="A19" s="21" t="s">
        <v>21</v>
      </c>
      <c r="B19" s="9">
        <f>IF($B$125="Utility",$B$127,$B$131)</f>
        <v>0.152</v>
      </c>
      <c r="C19" s="9">
        <f>IF($B$125="Utility",$B$128,$B$132)</f>
        <v>0.17399999999999999</v>
      </c>
      <c r="D19" s="26" t="s">
        <v>315</v>
      </c>
      <c r="E19" s="29" t="s">
        <v>205</v>
      </c>
    </row>
    <row r="20" spans="1:5" x14ac:dyDescent="0.3">
      <c r="A20" s="21" t="s">
        <v>132</v>
      </c>
      <c r="B20" s="38">
        <v>4</v>
      </c>
      <c r="C20" s="38">
        <v>4</v>
      </c>
      <c r="D20" s="26"/>
      <c r="E20" s="29" t="s">
        <v>17</v>
      </c>
    </row>
    <row r="21" spans="1:5" x14ac:dyDescent="0.3">
      <c r="A21" s="21" t="s">
        <v>133</v>
      </c>
      <c r="B21" s="38">
        <v>6</v>
      </c>
      <c r="C21" s="38">
        <v>6</v>
      </c>
      <c r="D21" s="26"/>
      <c r="E21" s="29" t="s">
        <v>17</v>
      </c>
    </row>
    <row r="22" spans="1:5" x14ac:dyDescent="0.3">
      <c r="A22" s="21" t="s">
        <v>22</v>
      </c>
      <c r="B22" s="25">
        <v>10</v>
      </c>
      <c r="C22" s="25">
        <v>10</v>
      </c>
      <c r="D22" s="26" t="s">
        <v>23</v>
      </c>
    </row>
    <row r="23" spans="1:5" ht="28.8" x14ac:dyDescent="0.3">
      <c r="A23" s="21" t="s">
        <v>134</v>
      </c>
      <c r="B23" s="30">
        <f>((1+$B$19)^$B$20*$B$19)/((1+$B$19)^$B$20-1)</f>
        <v>0.3516833896851575</v>
      </c>
      <c r="C23" s="30">
        <f>((1+$C$19)^$C$20*$C$19)/((1+$C$19)^$C$20-1)</f>
        <v>0.36740968026249721</v>
      </c>
      <c r="D23" s="26" t="s">
        <v>24</v>
      </c>
      <c r="E23" s="6" t="s">
        <v>25</v>
      </c>
    </row>
    <row r="24" spans="1:5" ht="28.8" x14ac:dyDescent="0.3">
      <c r="A24" s="21" t="s">
        <v>135</v>
      </c>
      <c r="B24" s="30">
        <f>((1+$B$18)^2*$B$18)/((1+$B$18)^2-1)</f>
        <v>0.61668401486988866</v>
      </c>
      <c r="C24" s="30">
        <f>((1+$C$18)^2*$C$18)/((1+$C$18)^2-1)</f>
        <v>0.63398160073597076</v>
      </c>
      <c r="D24" s="26" t="s">
        <v>138</v>
      </c>
      <c r="E24" s="6"/>
    </row>
    <row r="25" spans="1:5" ht="28.8" x14ac:dyDescent="0.3">
      <c r="A25" s="21" t="s">
        <v>136</v>
      </c>
      <c r="B25" s="30">
        <f>((1+$B$19)^$B$21*$B$19)/((1+$B$19)^$B$21-1)</f>
        <v>0.26566166594108653</v>
      </c>
      <c r="C25" s="30">
        <f>((1+$C$19)^$C$21*$C$19)/((1+$C$19)^$C$21-1)</f>
        <v>0.28152457315916585</v>
      </c>
      <c r="D25" s="26" t="s">
        <v>139</v>
      </c>
      <c r="E25" s="6"/>
    </row>
    <row r="26" spans="1:5" ht="28.8" x14ac:dyDescent="0.3">
      <c r="A26" s="21" t="s">
        <v>137</v>
      </c>
      <c r="B26" s="30">
        <f>((1+$B$18)^2*$B$18)/((1+$B$18)^2-1)</f>
        <v>0.61668401486988866</v>
      </c>
      <c r="C26" s="30">
        <f>((1+$C$18)^2*$C$18)/((1+$C$18)^2-1)</f>
        <v>0.63398160073597076</v>
      </c>
      <c r="D26" s="26" t="s">
        <v>140</v>
      </c>
      <c r="E26" s="6"/>
    </row>
    <row r="27" spans="1:5" ht="28.8" x14ac:dyDescent="0.3">
      <c r="A27" s="21" t="s">
        <v>141</v>
      </c>
      <c r="B27" s="31">
        <f>$B16*$B$23</f>
        <v>73.501828444197912</v>
      </c>
      <c r="C27" s="31">
        <f>$C$16*$C$23</f>
        <v>73.481936052499435</v>
      </c>
      <c r="D27" s="26" t="s">
        <v>26</v>
      </c>
    </row>
    <row r="28" spans="1:5" ht="28.8" x14ac:dyDescent="0.3">
      <c r="A28" s="21" t="s">
        <v>142</v>
      </c>
      <c r="B28" s="31">
        <f>$B16*$B$25</f>
        <v>55.523288181687086</v>
      </c>
      <c r="C28" s="31">
        <f>$C16*$C$25</f>
        <v>56.304914631833171</v>
      </c>
      <c r="D28" s="26"/>
    </row>
    <row r="29" spans="1:5" ht="43.2" x14ac:dyDescent="0.3">
      <c r="A29" s="26" t="s">
        <v>27</v>
      </c>
      <c r="B29" s="76">
        <v>10</v>
      </c>
      <c r="C29" s="76">
        <v>10</v>
      </c>
      <c r="D29" s="26"/>
      <c r="E29" s="6" t="s">
        <v>193</v>
      </c>
    </row>
    <row r="30" spans="1:5" ht="28.8" x14ac:dyDescent="0.3">
      <c r="A30" s="21" t="s">
        <v>218</v>
      </c>
      <c r="B30" s="31">
        <f>B27+B29</f>
        <v>83.501828444197912</v>
      </c>
      <c r="C30" s="31">
        <f>C27+C29</f>
        <v>83.481936052499435</v>
      </c>
      <c r="D30" s="26" t="s">
        <v>10</v>
      </c>
      <c r="E30" s="26"/>
    </row>
    <row r="31" spans="1:5" ht="28.8" x14ac:dyDescent="0.3">
      <c r="A31" s="21" t="s">
        <v>219</v>
      </c>
      <c r="B31" s="31">
        <f>B29+B28</f>
        <v>65.523288181687093</v>
      </c>
      <c r="C31" s="31">
        <f>C28+C29</f>
        <v>66.304914631833171</v>
      </c>
      <c r="D31" s="26"/>
      <c r="E31" s="26"/>
    </row>
    <row r="32" spans="1:5" x14ac:dyDescent="0.3">
      <c r="A32" s="2" t="s">
        <v>30</v>
      </c>
      <c r="B32" s="2"/>
      <c r="C32" s="2"/>
      <c r="D32" s="2"/>
      <c r="E32" s="3"/>
    </row>
    <row r="33" spans="1:16" ht="14.4" customHeight="1" x14ac:dyDescent="0.3">
      <c r="A33" s="21" t="s">
        <v>158</v>
      </c>
      <c r="B33" s="31">
        <v>55.15</v>
      </c>
      <c r="C33" s="33" t="s">
        <v>31</v>
      </c>
      <c r="D33" s="26" t="s">
        <v>220</v>
      </c>
      <c r="E33" s="23"/>
    </row>
    <row r="34" spans="1:16" ht="28.8" x14ac:dyDescent="0.3">
      <c r="A34" s="21" t="s">
        <v>159</v>
      </c>
      <c r="B34" s="33" t="s">
        <v>31</v>
      </c>
      <c r="C34" s="31">
        <v>36.840000000000003</v>
      </c>
      <c r="D34" s="26" t="s">
        <v>220</v>
      </c>
      <c r="E34" s="23"/>
    </row>
    <row r="35" spans="1:16" ht="72" x14ac:dyDescent="0.3">
      <c r="A35" s="21" t="s">
        <v>32</v>
      </c>
      <c r="B35" s="28">
        <v>0.1</v>
      </c>
      <c r="C35" s="28">
        <v>0.1</v>
      </c>
      <c r="D35" s="26" t="s">
        <v>33</v>
      </c>
      <c r="E35" s="24" t="s">
        <v>34</v>
      </c>
    </row>
    <row r="36" spans="1:16" ht="28.8" x14ac:dyDescent="0.3">
      <c r="A36" s="21" t="s">
        <v>35</v>
      </c>
      <c r="B36" s="28">
        <v>0.05</v>
      </c>
      <c r="C36" s="28">
        <v>0.05</v>
      </c>
      <c r="D36" s="26" t="s">
        <v>33</v>
      </c>
      <c r="E36" s="34" t="s">
        <v>36</v>
      </c>
    </row>
    <row r="37" spans="1:16" ht="57.6" x14ac:dyDescent="0.3">
      <c r="A37" s="32" t="s">
        <v>161</v>
      </c>
      <c r="B37" s="86">
        <v>1.4999999999999999E-2</v>
      </c>
      <c r="C37" s="86">
        <v>1.4999999999999999E-2</v>
      </c>
      <c r="D37" s="26" t="s">
        <v>221</v>
      </c>
      <c r="E37" s="34" t="s">
        <v>222</v>
      </c>
    </row>
    <row r="38" spans="1:16" ht="28.8" x14ac:dyDescent="0.3">
      <c r="A38" s="21" t="s">
        <v>38</v>
      </c>
      <c r="B38" s="31">
        <f>$B$33*$B$35</f>
        <v>5.5150000000000006</v>
      </c>
      <c r="C38" s="33" t="s">
        <v>31</v>
      </c>
      <c r="D38" s="26" t="s">
        <v>10</v>
      </c>
    </row>
    <row r="39" spans="1:16" ht="28.8" x14ac:dyDescent="0.3">
      <c r="A39" s="21" t="s">
        <v>39</v>
      </c>
      <c r="B39" s="31">
        <f>$B$33*$B$36</f>
        <v>2.7575000000000003</v>
      </c>
      <c r="C39" s="33" t="s">
        <v>31</v>
      </c>
      <c r="D39" s="26" t="s">
        <v>10</v>
      </c>
    </row>
    <row r="40" spans="1:16" ht="43.2" x14ac:dyDescent="0.3">
      <c r="A40" s="21" t="s">
        <v>160</v>
      </c>
      <c r="B40" s="31">
        <f>B$33*B$37</f>
        <v>0.82724999999999993</v>
      </c>
      <c r="C40" s="33"/>
      <c r="D40" s="26" t="s">
        <v>37</v>
      </c>
    </row>
    <row r="41" spans="1:16" ht="28.8" x14ac:dyDescent="0.3">
      <c r="A41" s="21" t="s">
        <v>40</v>
      </c>
      <c r="B41" s="33" t="s">
        <v>31</v>
      </c>
      <c r="C41" s="31">
        <f>$C$34*$C$35</f>
        <v>3.6840000000000006</v>
      </c>
      <c r="D41" s="26" t="s">
        <v>10</v>
      </c>
    </row>
    <row r="42" spans="1:16" ht="28.8" x14ac:dyDescent="0.3">
      <c r="A42" s="21" t="s">
        <v>41</v>
      </c>
      <c r="B42" s="33" t="s">
        <v>31</v>
      </c>
      <c r="C42" s="31">
        <f>$C$34*$C$36</f>
        <v>1.8420000000000003</v>
      </c>
      <c r="D42" s="26" t="s">
        <v>10</v>
      </c>
    </row>
    <row r="43" spans="1:16" ht="28.8" x14ac:dyDescent="0.3">
      <c r="A43" s="21" t="s">
        <v>162</v>
      </c>
      <c r="B43" s="33"/>
      <c r="C43" s="31">
        <f>$C$34*$C$37</f>
        <v>0.55259999999999998</v>
      </c>
      <c r="D43" s="26" t="s">
        <v>10</v>
      </c>
    </row>
    <row r="44" spans="1:16" ht="27.6" customHeight="1" x14ac:dyDescent="0.3">
      <c r="A44" s="21" t="s">
        <v>42</v>
      </c>
      <c r="B44" s="28">
        <v>1</v>
      </c>
      <c r="C44" s="28">
        <v>1</v>
      </c>
      <c r="D44" s="26"/>
      <c r="E44" s="34" t="s">
        <v>116</v>
      </c>
    </row>
    <row r="45" spans="1:16" ht="27.6" customHeight="1" x14ac:dyDescent="0.3">
      <c r="A45" s="21" t="s">
        <v>121</v>
      </c>
      <c r="B45" s="28">
        <v>0.15</v>
      </c>
      <c r="C45" s="28">
        <v>0.15</v>
      </c>
      <c r="D45" s="26"/>
      <c r="E45" s="34" t="s">
        <v>116</v>
      </c>
    </row>
    <row r="46" spans="1:16" ht="27.6" customHeight="1" x14ac:dyDescent="0.3">
      <c r="A46" s="21" t="s">
        <v>122</v>
      </c>
      <c r="B46" s="28">
        <v>0.4</v>
      </c>
      <c r="C46" s="28">
        <v>0.4</v>
      </c>
      <c r="D46" s="26"/>
      <c r="E46" s="34" t="s">
        <v>116</v>
      </c>
      <c r="G46" t="s">
        <v>327</v>
      </c>
      <c r="I46" t="s">
        <v>328</v>
      </c>
      <c r="K46" t="s">
        <v>330</v>
      </c>
      <c r="L46" t="s">
        <v>332</v>
      </c>
      <c r="M46" t="s">
        <v>333</v>
      </c>
      <c r="O46" t="s">
        <v>334</v>
      </c>
    </row>
    <row r="47" spans="1:16" x14ac:dyDescent="0.3">
      <c r="A47" s="2" t="s">
        <v>74</v>
      </c>
      <c r="B47" s="2"/>
      <c r="C47" s="2"/>
      <c r="D47" s="2"/>
      <c r="E47" s="3"/>
      <c r="G47" t="s">
        <v>2</v>
      </c>
      <c r="H47" t="s">
        <v>3</v>
      </c>
      <c r="I47" t="s">
        <v>329</v>
      </c>
      <c r="J47" t="s">
        <v>3</v>
      </c>
      <c r="K47" t="s">
        <v>331</v>
      </c>
      <c r="L47" t="s">
        <v>331</v>
      </c>
      <c r="M47" t="s">
        <v>2</v>
      </c>
      <c r="N47" t="s">
        <v>3</v>
      </c>
      <c r="O47" t="s">
        <v>2</v>
      </c>
      <c r="P47" t="s">
        <v>3</v>
      </c>
    </row>
    <row r="48" spans="1:16" ht="29.4" customHeight="1" x14ac:dyDescent="0.3">
      <c r="A48" s="21" t="s">
        <v>335</v>
      </c>
      <c r="B48" s="11">
        <f>O48</f>
        <v>1429221052.7500682</v>
      </c>
      <c r="C48" s="11">
        <f>P48</f>
        <v>1069527476.2613403</v>
      </c>
      <c r="D48" s="26" t="s">
        <v>44</v>
      </c>
      <c r="E48" s="29" t="s">
        <v>45</v>
      </c>
      <c r="F48">
        <v>2016</v>
      </c>
      <c r="G48" s="11">
        <v>108374612000</v>
      </c>
      <c r="H48" s="11">
        <v>8237828000</v>
      </c>
      <c r="I48">
        <v>101.5</v>
      </c>
      <c r="J48">
        <v>10.31</v>
      </c>
      <c r="K48">
        <v>1.3</v>
      </c>
      <c r="L48">
        <v>100</v>
      </c>
      <c r="M48" s="16">
        <f>G48/I48</f>
        <v>1067730167.4876847</v>
      </c>
      <c r="N48" s="16">
        <f>H48/J48</f>
        <v>799013385.0630455</v>
      </c>
      <c r="O48" s="17">
        <f>M48*($L$57/L48)</f>
        <v>1429221052.7500682</v>
      </c>
      <c r="P48" s="17">
        <f>N48*($L$57/L48)</f>
        <v>1069527476.2613403</v>
      </c>
    </row>
    <row r="49" spans="1:16" ht="29.4" customHeight="1" x14ac:dyDescent="0.3">
      <c r="A49" s="21" t="s">
        <v>336</v>
      </c>
      <c r="B49" s="11">
        <f t="shared" ref="B49:B57" si="0">O49</f>
        <v>1530766494.2512894</v>
      </c>
      <c r="C49" s="11">
        <f t="shared" ref="C49:C57" si="1">P49</f>
        <v>1022498984.2440712</v>
      </c>
      <c r="D49" s="26" t="s">
        <v>44</v>
      </c>
      <c r="E49" s="29" t="s">
        <v>45</v>
      </c>
      <c r="F49">
        <v>2017</v>
      </c>
      <c r="G49" s="11">
        <v>120742270000</v>
      </c>
      <c r="H49" s="11">
        <v>7424850000</v>
      </c>
      <c r="I49">
        <v>103.41</v>
      </c>
      <c r="J49">
        <v>9.52</v>
      </c>
      <c r="K49">
        <v>2.1</v>
      </c>
      <c r="L49">
        <f>L48*(1+K49/100)</f>
        <v>102.1</v>
      </c>
      <c r="M49" s="16">
        <f t="shared" ref="M49:M57" si="2">G49/I49</f>
        <v>1167607291.3644717</v>
      </c>
      <c r="N49" s="16">
        <f t="shared" ref="N49:N57" si="3">H49/J49</f>
        <v>779921218.48739505</v>
      </c>
      <c r="O49" s="17">
        <f t="shared" ref="O49:O57" si="4">M49*($L$57/L49)</f>
        <v>1530766494.2512894</v>
      </c>
      <c r="P49" s="17">
        <f>N49*($L$57/L49)</f>
        <v>1022498984.2440712</v>
      </c>
    </row>
    <row r="50" spans="1:16" ht="29.4" customHeight="1" x14ac:dyDescent="0.3">
      <c r="A50" s="21" t="s">
        <v>337</v>
      </c>
      <c r="B50" s="11">
        <f t="shared" si="0"/>
        <v>1660460746.5564167</v>
      </c>
      <c r="C50" s="11">
        <f t="shared" si="1"/>
        <v>1167073599.5834811</v>
      </c>
      <c r="D50" s="26" t="s">
        <v>44</v>
      </c>
      <c r="E50" s="29" t="s">
        <v>45</v>
      </c>
      <c r="F50">
        <v>2018</v>
      </c>
      <c r="G50" s="11">
        <v>131378974000</v>
      </c>
      <c r="H50" s="13">
        <v>9534935000</v>
      </c>
      <c r="I50">
        <v>101.3</v>
      </c>
      <c r="J50">
        <v>10.46</v>
      </c>
      <c r="K50">
        <v>2.4</v>
      </c>
      <c r="L50">
        <f t="shared" ref="L50:L57" si="5">L49*(1+K50/100)</f>
        <v>104.5504</v>
      </c>
      <c r="M50" s="16">
        <f t="shared" si="2"/>
        <v>1296929654.4916091</v>
      </c>
      <c r="N50" s="16">
        <f t="shared" si="3"/>
        <v>911561663.47992349</v>
      </c>
      <c r="O50" s="17">
        <f t="shared" si="4"/>
        <v>1660460746.5564167</v>
      </c>
      <c r="P50" s="17">
        <f t="shared" ref="P50:P57" si="6">N50*($L$57/L50)</f>
        <v>1167073599.5834811</v>
      </c>
    </row>
    <row r="51" spans="1:16" ht="29.4" customHeight="1" x14ac:dyDescent="0.3">
      <c r="A51" s="21" t="s">
        <v>338</v>
      </c>
      <c r="B51" s="11">
        <f t="shared" si="0"/>
        <v>1641792505.5927684</v>
      </c>
      <c r="C51" s="11">
        <f t="shared" si="1"/>
        <v>1007535109.1391728</v>
      </c>
      <c r="D51" s="26" t="s">
        <v>44</v>
      </c>
      <c r="E51" s="29" t="s">
        <v>45</v>
      </c>
      <c r="F51">
        <v>2019</v>
      </c>
      <c r="G51" s="11">
        <v>133140887000</v>
      </c>
      <c r="H51" s="13">
        <v>10326394000</v>
      </c>
      <c r="I51">
        <v>101.99</v>
      </c>
      <c r="J51">
        <v>12.89</v>
      </c>
      <c r="K51">
        <v>1.8</v>
      </c>
      <c r="L51">
        <f t="shared" si="5"/>
        <v>106.4323072</v>
      </c>
      <c r="M51" s="16">
        <f t="shared" si="2"/>
        <v>1305430797.1369743</v>
      </c>
      <c r="N51" s="16">
        <f t="shared" si="3"/>
        <v>801116679.59658647</v>
      </c>
      <c r="O51" s="17">
        <f t="shared" si="4"/>
        <v>1641792505.5927684</v>
      </c>
      <c r="P51" s="17">
        <f t="shared" si="6"/>
        <v>1007535109.1391728</v>
      </c>
    </row>
    <row r="52" spans="1:16" ht="29.4" customHeight="1" x14ac:dyDescent="0.3">
      <c r="A52" s="21" t="s">
        <v>339</v>
      </c>
      <c r="B52" s="11">
        <f t="shared" si="0"/>
        <v>1555727358.9625704</v>
      </c>
      <c r="C52" s="11">
        <f t="shared" si="1"/>
        <v>1252033731.9944537</v>
      </c>
      <c r="D52" s="26" t="s">
        <v>44</v>
      </c>
      <c r="E52" s="29" t="s">
        <v>45</v>
      </c>
      <c r="F52">
        <v>2020</v>
      </c>
      <c r="G52" s="11">
        <v>133258602000</v>
      </c>
      <c r="H52" s="11">
        <v>18477000000</v>
      </c>
      <c r="I52">
        <v>106.45</v>
      </c>
      <c r="J52">
        <v>18.34</v>
      </c>
      <c r="K52">
        <v>1.2</v>
      </c>
      <c r="L52">
        <f t="shared" si="5"/>
        <v>107.70949488639999</v>
      </c>
      <c r="M52" s="16">
        <f t="shared" si="2"/>
        <v>1251842198.2151244</v>
      </c>
      <c r="N52" s="16">
        <f t="shared" si="3"/>
        <v>1007470010.9051254</v>
      </c>
      <c r="O52" s="17">
        <f t="shared" si="4"/>
        <v>1555727358.9625704</v>
      </c>
      <c r="P52" s="17">
        <f t="shared" si="6"/>
        <v>1252033731.9944537</v>
      </c>
    </row>
    <row r="53" spans="1:16" ht="29.4" customHeight="1" x14ac:dyDescent="0.3">
      <c r="A53" s="21" t="s">
        <v>340</v>
      </c>
      <c r="B53" s="11">
        <f t="shared" si="0"/>
        <v>1560239457.7499735</v>
      </c>
      <c r="C53" s="11">
        <f t="shared" si="1"/>
        <v>1310555492.4267037</v>
      </c>
      <c r="D53" s="26" t="s">
        <v>44</v>
      </c>
      <c r="E53" s="29" t="s">
        <v>45</v>
      </c>
      <c r="F53">
        <v>2021</v>
      </c>
      <c r="G53" s="11">
        <v>144119605000</v>
      </c>
      <c r="H53" s="11">
        <v>22104580000</v>
      </c>
      <c r="I53">
        <v>109.64</v>
      </c>
      <c r="J53">
        <v>20.02</v>
      </c>
      <c r="K53">
        <v>4.7</v>
      </c>
      <c r="L53">
        <f t="shared" si="5"/>
        <v>112.77184114606079</v>
      </c>
      <c r="M53" s="16">
        <f t="shared" si="2"/>
        <v>1314480162.3495076</v>
      </c>
      <c r="N53" s="16">
        <f t="shared" si="3"/>
        <v>1104124875.1248751</v>
      </c>
      <c r="O53" s="17">
        <f t="shared" si="4"/>
        <v>1560239457.7499735</v>
      </c>
      <c r="P53" s="17">
        <f t="shared" si="6"/>
        <v>1310555492.4267037</v>
      </c>
    </row>
    <row r="54" spans="1:16" ht="29.4" customHeight="1" x14ac:dyDescent="0.3">
      <c r="A54" s="21" t="s">
        <v>341</v>
      </c>
      <c r="B54" s="11">
        <f t="shared" si="0"/>
        <v>1467188485.1427855</v>
      </c>
      <c r="C54" s="11">
        <f t="shared" si="1"/>
        <v>1333186020.8256195</v>
      </c>
      <c r="D54" s="26" t="s">
        <v>44</v>
      </c>
      <c r="E54" s="29" t="s">
        <v>45</v>
      </c>
      <c r="F54">
        <v>2022</v>
      </c>
      <c r="G54" s="11">
        <v>157353254000</v>
      </c>
      <c r="H54" s="11">
        <v>20549000000</v>
      </c>
      <c r="I54">
        <v>117.87</v>
      </c>
      <c r="J54">
        <v>16.940000000000001</v>
      </c>
      <c r="K54">
        <v>8</v>
      </c>
      <c r="L54">
        <f t="shared" si="5"/>
        <v>121.79358843774567</v>
      </c>
      <c r="M54" s="16">
        <f t="shared" si="2"/>
        <v>1334972885.3822007</v>
      </c>
      <c r="N54" s="16">
        <f t="shared" si="3"/>
        <v>1213046044.8642266</v>
      </c>
      <c r="O54" s="17">
        <f t="shared" si="4"/>
        <v>1467188485.1427855</v>
      </c>
      <c r="P54" s="17">
        <f t="shared" si="6"/>
        <v>1333186020.8256195</v>
      </c>
    </row>
    <row r="55" spans="1:16" ht="29.4" customHeight="1" x14ac:dyDescent="0.3">
      <c r="A55" s="21" t="s">
        <v>342</v>
      </c>
      <c r="B55" s="11">
        <f t="shared" si="0"/>
        <v>1441705910.5135214</v>
      </c>
      <c r="C55" s="11">
        <f t="shared" si="1"/>
        <v>1478786948.6392872</v>
      </c>
      <c r="D55" s="26" t="s">
        <v>44</v>
      </c>
      <c r="E55" s="29" t="s">
        <v>45</v>
      </c>
      <c r="F55">
        <v>2023</v>
      </c>
      <c r="G55" s="11">
        <v>190974954000</v>
      </c>
      <c r="H55" s="11">
        <v>28308000000</v>
      </c>
      <c r="I55">
        <v>139.85</v>
      </c>
      <c r="J55">
        <v>20.21</v>
      </c>
      <c r="K55">
        <v>4.0999999999999996</v>
      </c>
      <c r="L55">
        <f t="shared" si="5"/>
        <v>126.78712556369324</v>
      </c>
      <c r="M55" s="16">
        <f t="shared" si="2"/>
        <v>1365569924.9195566</v>
      </c>
      <c r="N55" s="16">
        <f t="shared" si="3"/>
        <v>1400692726.3730826</v>
      </c>
      <c r="O55" s="17">
        <f t="shared" si="4"/>
        <v>1441705910.5135214</v>
      </c>
      <c r="P55" s="17">
        <f t="shared" si="6"/>
        <v>1478786948.6392872</v>
      </c>
    </row>
    <row r="56" spans="1:16" ht="29.4" customHeight="1" x14ac:dyDescent="0.3">
      <c r="A56" s="21" t="s">
        <v>343</v>
      </c>
      <c r="B56" s="11">
        <f t="shared" si="0"/>
        <v>1758884516.5554073</v>
      </c>
      <c r="C56" s="11">
        <f t="shared" si="1"/>
        <v>1209243952.846771</v>
      </c>
      <c r="D56" s="26" t="s">
        <v>44</v>
      </c>
      <c r="E56" s="29" t="s">
        <v>45</v>
      </c>
      <c r="F56">
        <v>2024</v>
      </c>
      <c r="G56" s="11">
        <v>231123597000</v>
      </c>
      <c r="H56" s="11">
        <v>30843971000</v>
      </c>
      <c r="I56">
        <v>134.82</v>
      </c>
      <c r="J56">
        <v>26.17</v>
      </c>
      <c r="K56">
        <v>2.9</v>
      </c>
      <c r="L56">
        <f t="shared" si="5"/>
        <v>130.46395220504033</v>
      </c>
      <c r="M56" s="16">
        <f t="shared" si="2"/>
        <v>1714312394.3035159</v>
      </c>
      <c r="N56" s="16">
        <f t="shared" si="3"/>
        <v>1178600343.9052348</v>
      </c>
      <c r="O56" s="17">
        <f t="shared" si="4"/>
        <v>1758884516.5554073</v>
      </c>
      <c r="P56" s="17">
        <f t="shared" si="6"/>
        <v>1209243952.846771</v>
      </c>
    </row>
    <row r="57" spans="1:16" ht="29.4" customHeight="1" x14ac:dyDescent="0.3">
      <c r="A57" s="21" t="s">
        <v>344</v>
      </c>
      <c r="B57" s="11">
        <f t="shared" si="0"/>
        <v>1695936334.1067283</v>
      </c>
      <c r="C57" s="11">
        <f t="shared" si="1"/>
        <v>1294412262.6582277</v>
      </c>
      <c r="D57" s="26" t="s">
        <v>44</v>
      </c>
      <c r="E57" s="29" t="s">
        <v>45</v>
      </c>
      <c r="F57">
        <v>2025</v>
      </c>
      <c r="G57" s="11">
        <v>219284568000</v>
      </c>
      <c r="H57" s="11">
        <v>32722742000</v>
      </c>
      <c r="I57">
        <v>129.30000000000001</v>
      </c>
      <c r="J57">
        <v>25.28</v>
      </c>
      <c r="K57">
        <v>2.6</v>
      </c>
      <c r="L57">
        <f t="shared" si="5"/>
        <v>133.85601496237138</v>
      </c>
      <c r="M57" s="16">
        <f t="shared" si="2"/>
        <v>1695936334.1067283</v>
      </c>
      <c r="N57" s="16">
        <f t="shared" si="3"/>
        <v>1294412262.6582277</v>
      </c>
      <c r="O57" s="17">
        <f t="shared" si="4"/>
        <v>1695936334.1067283</v>
      </c>
      <c r="P57" s="17">
        <f t="shared" si="6"/>
        <v>1294412262.6582277</v>
      </c>
    </row>
    <row r="58" spans="1:16" x14ac:dyDescent="0.3">
      <c r="A58" s="21" t="s">
        <v>43</v>
      </c>
      <c r="B58" s="8" cm="1">
        <f t="array" ref="B58">EXP(SLOPE(LN(B48:B57), F48:F57))-1</f>
        <v>8.958441729287614E-3</v>
      </c>
      <c r="C58" s="8" cm="1">
        <f t="array" ref="C58">EXP(SLOPE(LN(C48:C57), F48:F57))-1</f>
        <v>3.0524905625475052E-2</v>
      </c>
      <c r="D58" s="26" t="s">
        <v>316</v>
      </c>
      <c r="E58" s="87"/>
    </row>
    <row r="59" spans="1:16" ht="27" customHeight="1" x14ac:dyDescent="0.3">
      <c r="A59" s="21" t="s">
        <v>46</v>
      </c>
      <c r="B59" s="14">
        <v>0.05</v>
      </c>
      <c r="C59" s="14">
        <v>0.03</v>
      </c>
      <c r="D59" s="26" t="s">
        <v>47</v>
      </c>
      <c r="E59" s="29" t="s">
        <v>48</v>
      </c>
    </row>
    <row r="60" spans="1:16" ht="27" customHeight="1" x14ac:dyDescent="0.3">
      <c r="A60" s="21" t="s">
        <v>69</v>
      </c>
      <c r="B60" s="12">
        <v>128.45099999999999</v>
      </c>
      <c r="C60" s="12">
        <v>17.991099999999999</v>
      </c>
      <c r="D60" s="26"/>
      <c r="E60" s="34" t="s">
        <v>70</v>
      </c>
    </row>
    <row r="61" spans="1:16" ht="27" customHeight="1" x14ac:dyDescent="0.3">
      <c r="A61" s="21" t="s">
        <v>181</v>
      </c>
      <c r="B61" s="12">
        <v>13.39</v>
      </c>
      <c r="C61" s="74">
        <v>0.313</v>
      </c>
      <c r="D61" s="26"/>
      <c r="E61" s="34" t="s">
        <v>180</v>
      </c>
    </row>
    <row r="62" spans="1:16" ht="27" customHeight="1" x14ac:dyDescent="0.3">
      <c r="A62" s="21" t="s">
        <v>182</v>
      </c>
      <c r="B62" s="12">
        <v>14.93</v>
      </c>
      <c r="C62" s="74">
        <v>0.32900000000000001</v>
      </c>
      <c r="D62" s="26"/>
      <c r="E62" s="34" t="s">
        <v>180</v>
      </c>
    </row>
    <row r="63" spans="1:16" ht="27" customHeight="1" x14ac:dyDescent="0.3">
      <c r="A63" s="21" t="s">
        <v>183</v>
      </c>
      <c r="B63" s="12">
        <v>16.27</v>
      </c>
      <c r="C63" s="74">
        <v>0.373</v>
      </c>
      <c r="D63" s="26"/>
      <c r="E63" s="34" t="s">
        <v>180</v>
      </c>
    </row>
    <row r="64" spans="1:16" ht="27" customHeight="1" x14ac:dyDescent="0.3">
      <c r="A64" s="21" t="s">
        <v>184</v>
      </c>
      <c r="B64" s="12">
        <v>16.07</v>
      </c>
      <c r="C64" s="74">
        <v>0.41599999999999998</v>
      </c>
      <c r="D64" s="26"/>
      <c r="E64" s="34" t="s">
        <v>180</v>
      </c>
    </row>
    <row r="65" spans="1:5" ht="27" customHeight="1" x14ac:dyDescent="0.3">
      <c r="A65" s="21" t="s">
        <v>185</v>
      </c>
      <c r="B65" s="12">
        <v>16.559999999999999</v>
      </c>
      <c r="C65" s="74">
        <v>0.69099999999999995</v>
      </c>
      <c r="D65" s="26"/>
      <c r="E65" s="34" t="s">
        <v>180</v>
      </c>
    </row>
    <row r="66" spans="1:5" ht="27" customHeight="1" x14ac:dyDescent="0.3">
      <c r="A66" s="21" t="s">
        <v>186</v>
      </c>
      <c r="B66" s="12">
        <v>15.64</v>
      </c>
      <c r="C66" s="75">
        <v>0.78400000000000003</v>
      </c>
      <c r="D66" s="26"/>
      <c r="E66" s="34" t="s">
        <v>180</v>
      </c>
    </row>
    <row r="67" spans="1:5" ht="27" customHeight="1" x14ac:dyDescent="0.3">
      <c r="A67" s="21" t="s">
        <v>187</v>
      </c>
      <c r="B67" s="12">
        <v>16.75</v>
      </c>
      <c r="C67" s="75">
        <v>0.93100000000000005</v>
      </c>
      <c r="D67" s="26"/>
      <c r="E67" s="34" t="s">
        <v>180</v>
      </c>
    </row>
    <row r="68" spans="1:5" ht="27" customHeight="1" x14ac:dyDescent="0.3">
      <c r="A68" s="21" t="s">
        <v>188</v>
      </c>
      <c r="B68" s="12">
        <v>18.899999999999999</v>
      </c>
      <c r="C68" s="74">
        <v>2.93</v>
      </c>
      <c r="D68" s="26"/>
      <c r="E68" s="34" t="s">
        <v>180</v>
      </c>
    </row>
    <row r="69" spans="1:5" ht="27" customHeight="1" x14ac:dyDescent="0.3">
      <c r="A69" s="21" t="s">
        <v>189</v>
      </c>
      <c r="B69" s="12">
        <v>18.350000000000001</v>
      </c>
      <c r="C69" s="74">
        <v>4.4219999999999997</v>
      </c>
      <c r="D69" s="26"/>
      <c r="E69" s="34" t="s">
        <v>180</v>
      </c>
    </row>
    <row r="70" spans="1:5" ht="27" customHeight="1" x14ac:dyDescent="0.3">
      <c r="A70" s="21" t="s">
        <v>190</v>
      </c>
      <c r="B70" s="12">
        <v>16.84</v>
      </c>
      <c r="C70" s="73">
        <v>4.2690000000000001</v>
      </c>
      <c r="D70" s="26"/>
      <c r="E70" s="34" t="s">
        <v>180</v>
      </c>
    </row>
    <row r="71" spans="1:5" ht="27" customHeight="1" x14ac:dyDescent="0.3">
      <c r="A71" s="21" t="s">
        <v>191</v>
      </c>
      <c r="B71" s="8"/>
      <c r="C71" s="8"/>
      <c r="D71" s="26" t="s">
        <v>317</v>
      </c>
      <c r="E71" s="34" t="s">
        <v>180</v>
      </c>
    </row>
    <row r="72" spans="1:5" ht="27" customHeight="1" x14ac:dyDescent="0.3">
      <c r="A72" s="21" t="s">
        <v>169</v>
      </c>
      <c r="B72" s="12">
        <v>2.5</v>
      </c>
      <c r="C72" s="12">
        <v>0.15</v>
      </c>
      <c r="D72" s="26"/>
      <c r="E72" s="34" t="s">
        <v>192</v>
      </c>
    </row>
    <row r="73" spans="1:5" ht="27" customHeight="1" x14ac:dyDescent="0.3">
      <c r="A73" s="21" t="s">
        <v>170</v>
      </c>
      <c r="B73" s="12">
        <v>2.5</v>
      </c>
      <c r="C73" s="12">
        <v>0.15</v>
      </c>
      <c r="D73" s="26"/>
      <c r="E73" s="34" t="s">
        <v>180</v>
      </c>
    </row>
    <row r="74" spans="1:5" ht="27" customHeight="1" x14ac:dyDescent="0.3">
      <c r="A74" s="21" t="s">
        <v>171</v>
      </c>
      <c r="B74" s="12">
        <v>2.5</v>
      </c>
      <c r="C74" s="12">
        <v>0.15</v>
      </c>
      <c r="D74" s="26"/>
      <c r="E74" s="34" t="s">
        <v>180</v>
      </c>
    </row>
    <row r="75" spans="1:5" ht="27" customHeight="1" x14ac:dyDescent="0.3">
      <c r="A75" s="21" t="s">
        <v>172</v>
      </c>
      <c r="B75" s="12">
        <v>9.8800000000000008</v>
      </c>
      <c r="C75" s="12">
        <v>0.15</v>
      </c>
      <c r="D75" s="26"/>
      <c r="E75" s="34" t="s">
        <v>180</v>
      </c>
    </row>
    <row r="76" spans="1:5" ht="27" customHeight="1" x14ac:dyDescent="0.3">
      <c r="A76" s="21" t="s">
        <v>173</v>
      </c>
      <c r="B76" s="12">
        <v>10</v>
      </c>
      <c r="C76" s="12">
        <v>0.35</v>
      </c>
      <c r="D76" s="26"/>
      <c r="E76" s="34" t="s">
        <v>180</v>
      </c>
    </row>
    <row r="77" spans="1:5" ht="27" customHeight="1" x14ac:dyDescent="0.3">
      <c r="A77" s="21" t="s">
        <v>174</v>
      </c>
      <c r="B77" s="12">
        <v>10</v>
      </c>
      <c r="C77" s="12">
        <v>0.35</v>
      </c>
      <c r="D77" s="26"/>
      <c r="E77" s="34" t="s">
        <v>180</v>
      </c>
    </row>
    <row r="78" spans="1:5" ht="27" customHeight="1" x14ac:dyDescent="0.3">
      <c r="A78" s="21" t="s">
        <v>175</v>
      </c>
      <c r="B78" s="12">
        <v>8.85</v>
      </c>
      <c r="C78" s="12">
        <v>0.47</v>
      </c>
      <c r="D78" s="26"/>
      <c r="E78" s="34" t="s">
        <v>180</v>
      </c>
    </row>
    <row r="79" spans="1:5" ht="27" customHeight="1" x14ac:dyDescent="0.3">
      <c r="A79" s="21" t="s">
        <v>176</v>
      </c>
      <c r="B79" s="12">
        <v>8.83</v>
      </c>
      <c r="C79" s="12">
        <v>0.4</v>
      </c>
      <c r="D79" s="26"/>
      <c r="E79" s="34" t="s">
        <v>180</v>
      </c>
    </row>
    <row r="80" spans="1:5" ht="27" customHeight="1" x14ac:dyDescent="0.3">
      <c r="A80" s="21" t="s">
        <v>177</v>
      </c>
      <c r="B80" s="12">
        <v>12.22</v>
      </c>
      <c r="C80" s="12">
        <v>0.44</v>
      </c>
      <c r="D80" s="26"/>
      <c r="E80" s="34" t="s">
        <v>180</v>
      </c>
    </row>
    <row r="81" spans="1:6" ht="27" customHeight="1" x14ac:dyDescent="0.3">
      <c r="A81" s="21" t="s">
        <v>168</v>
      </c>
      <c r="B81" s="12">
        <v>12.23</v>
      </c>
      <c r="C81" s="12">
        <v>0.35</v>
      </c>
      <c r="D81" s="26"/>
      <c r="E81" s="34" t="s">
        <v>180</v>
      </c>
    </row>
    <row r="82" spans="1:6" ht="27" customHeight="1" x14ac:dyDescent="0.3">
      <c r="A82" s="21" t="s">
        <v>178</v>
      </c>
      <c r="B82" s="8"/>
      <c r="C82" s="8"/>
      <c r="D82" s="26" t="s">
        <v>317</v>
      </c>
      <c r="E82" s="34" t="s">
        <v>180</v>
      </c>
      <c r="F82" t="s">
        <v>179</v>
      </c>
    </row>
    <row r="83" spans="1:6" ht="27.6" x14ac:dyDescent="0.3">
      <c r="A83" s="2" t="s">
        <v>101</v>
      </c>
      <c r="B83" s="2"/>
      <c r="C83" s="2"/>
      <c r="D83" s="2"/>
      <c r="E83" s="3"/>
    </row>
    <row r="84" spans="1:6" ht="27" customHeight="1" x14ac:dyDescent="0.3">
      <c r="A84" s="21" t="s">
        <v>77</v>
      </c>
      <c r="B84" s="36">
        <v>320278</v>
      </c>
      <c r="C84" s="36">
        <v>739560</v>
      </c>
      <c r="D84" s="26"/>
      <c r="E84" s="34" t="s">
        <v>97</v>
      </c>
    </row>
    <row r="85" spans="1:6" ht="27" customHeight="1" x14ac:dyDescent="0.3">
      <c r="A85" s="21" t="s">
        <v>84</v>
      </c>
      <c r="B85" s="36">
        <v>199048</v>
      </c>
      <c r="C85" s="36">
        <v>88679</v>
      </c>
      <c r="D85" s="26"/>
      <c r="E85" s="34" t="s">
        <v>97</v>
      </c>
    </row>
    <row r="86" spans="1:6" ht="27" customHeight="1" x14ac:dyDescent="0.3">
      <c r="A86" s="21" t="s">
        <v>83</v>
      </c>
      <c r="B86" s="36"/>
      <c r="C86" s="36">
        <v>239625</v>
      </c>
      <c r="D86" s="26"/>
      <c r="E86" s="34" t="s">
        <v>97</v>
      </c>
    </row>
    <row r="87" spans="1:6" ht="27" customHeight="1" x14ac:dyDescent="0.3">
      <c r="A87" s="21" t="s">
        <v>78</v>
      </c>
      <c r="B87" s="35">
        <v>10748</v>
      </c>
      <c r="C87" s="36">
        <v>1440007</v>
      </c>
      <c r="D87" s="26"/>
      <c r="E87" s="34" t="s">
        <v>97</v>
      </c>
    </row>
    <row r="88" spans="1:6" ht="27" customHeight="1" x14ac:dyDescent="0.3">
      <c r="A88" s="21" t="s">
        <v>79</v>
      </c>
      <c r="B88" s="36">
        <v>1155</v>
      </c>
      <c r="C88" s="36">
        <v>841</v>
      </c>
      <c r="D88" s="26"/>
      <c r="E88" s="34" t="s">
        <v>97</v>
      </c>
    </row>
    <row r="89" spans="1:6" ht="27" customHeight="1" x14ac:dyDescent="0.3">
      <c r="A89" s="21" t="s">
        <v>86</v>
      </c>
      <c r="B89" s="36">
        <v>1337</v>
      </c>
      <c r="C89" s="36">
        <v>1832</v>
      </c>
      <c r="D89" s="26"/>
      <c r="E89" s="34" t="s">
        <v>97</v>
      </c>
    </row>
    <row r="90" spans="1:6" ht="27" customHeight="1" x14ac:dyDescent="0.3">
      <c r="A90" s="21" t="s">
        <v>85</v>
      </c>
      <c r="B90" s="12"/>
      <c r="C90" s="36">
        <v>1868</v>
      </c>
      <c r="D90" s="26"/>
      <c r="E90" s="34" t="s">
        <v>97</v>
      </c>
    </row>
    <row r="91" spans="1:6" ht="27" customHeight="1" x14ac:dyDescent="0.3">
      <c r="A91" s="21" t="s">
        <v>80</v>
      </c>
      <c r="B91" s="35">
        <v>209</v>
      </c>
      <c r="C91" s="36">
        <v>200</v>
      </c>
      <c r="D91" s="26"/>
      <c r="E91" s="34" t="s">
        <v>97</v>
      </c>
    </row>
    <row r="92" spans="1:6" ht="27" customHeight="1" x14ac:dyDescent="0.3">
      <c r="A92" s="4" t="s">
        <v>93</v>
      </c>
      <c r="B92" s="37">
        <v>1</v>
      </c>
      <c r="C92" s="37">
        <v>1</v>
      </c>
      <c r="D92" s="5"/>
      <c r="E92" s="34" t="s">
        <v>97</v>
      </c>
    </row>
    <row r="93" spans="1:6" ht="27" customHeight="1" x14ac:dyDescent="0.3">
      <c r="A93" s="4" t="s">
        <v>94</v>
      </c>
      <c r="B93" s="37">
        <f>1-B92</f>
        <v>0</v>
      </c>
      <c r="C93" s="37">
        <f>1-C92</f>
        <v>0</v>
      </c>
      <c r="D93" s="5"/>
      <c r="E93" s="34" t="s">
        <v>97</v>
      </c>
    </row>
    <row r="94" spans="1:6" ht="27" customHeight="1" x14ac:dyDescent="0.3">
      <c r="A94" s="4" t="s">
        <v>96</v>
      </c>
      <c r="B94" s="37">
        <v>0.5</v>
      </c>
      <c r="C94" s="37">
        <v>0.3</v>
      </c>
      <c r="D94" s="5"/>
      <c r="E94" s="34" t="s">
        <v>97</v>
      </c>
    </row>
    <row r="95" spans="1:6" ht="27" customHeight="1" x14ac:dyDescent="0.3">
      <c r="A95" s="4" t="s">
        <v>95</v>
      </c>
      <c r="B95" s="37">
        <f>1-B94</f>
        <v>0.5</v>
      </c>
      <c r="C95" s="37">
        <f>1-C94</f>
        <v>0.7</v>
      </c>
      <c r="D95" s="5"/>
      <c r="E95" s="34" t="s">
        <v>97</v>
      </c>
    </row>
    <row r="96" spans="1:6" ht="27" customHeight="1" x14ac:dyDescent="0.3">
      <c r="A96" s="4" t="s">
        <v>118</v>
      </c>
      <c r="B96" s="88">
        <f>IF($B$135="High",$B$137,$B$136)</f>
        <v>0.2</v>
      </c>
      <c r="C96" s="88">
        <f>IF($B$135="High",$B$137,$B$136)</f>
        <v>0.2</v>
      </c>
      <c r="D96" s="5"/>
      <c r="E96" s="34" t="s">
        <v>223</v>
      </c>
    </row>
    <row r="97" spans="1:5" x14ac:dyDescent="0.3">
      <c r="A97" s="2" t="s">
        <v>55</v>
      </c>
      <c r="B97" s="2"/>
      <c r="C97" s="2"/>
      <c r="D97" s="2"/>
      <c r="E97" s="3"/>
    </row>
    <row r="98" spans="1:5" x14ac:dyDescent="0.3">
      <c r="A98" s="4" t="s">
        <v>52</v>
      </c>
      <c r="B98" s="10">
        <f>B10</f>
        <v>776743.70971428556</v>
      </c>
      <c r="C98" s="10">
        <f>C10</f>
        <v>1742430.5388679246</v>
      </c>
    </row>
    <row r="99" spans="1:5" x14ac:dyDescent="0.3">
      <c r="A99" s="4" t="s">
        <v>53</v>
      </c>
      <c r="B99" s="10">
        <f>B11</f>
        <v>1698512.3525714285</v>
      </c>
      <c r="C99" s="10">
        <f>C11</f>
        <v>2034895.239245283</v>
      </c>
    </row>
    <row r="100" spans="1:5" x14ac:dyDescent="0.3">
      <c r="A100" s="4" t="s">
        <v>54</v>
      </c>
      <c r="B100" s="15">
        <f>B38</f>
        <v>5.5150000000000006</v>
      </c>
      <c r="C100" s="15">
        <f>C41</f>
        <v>3.6840000000000006</v>
      </c>
    </row>
    <row r="101" spans="1:5" x14ac:dyDescent="0.3">
      <c r="A101" s="4" t="s">
        <v>200</v>
      </c>
      <c r="B101" s="15">
        <f>B39</f>
        <v>2.7575000000000003</v>
      </c>
      <c r="C101" s="15">
        <f>C42</f>
        <v>1.8420000000000003</v>
      </c>
    </row>
    <row r="102" spans="1:5" x14ac:dyDescent="0.3">
      <c r="A102" s="4" t="s">
        <v>201</v>
      </c>
      <c r="B102" s="15">
        <f>B40</f>
        <v>0.82724999999999993</v>
      </c>
      <c r="C102" s="15">
        <f>C43</f>
        <v>0.55259999999999998</v>
      </c>
    </row>
    <row r="104" spans="1:5" x14ac:dyDescent="0.3">
      <c r="A104" s="4" t="s">
        <v>56</v>
      </c>
      <c r="B104" t="s">
        <v>238</v>
      </c>
    </row>
    <row r="105" spans="1:5" x14ac:dyDescent="0.3">
      <c r="A105" s="4" t="s">
        <v>57</v>
      </c>
      <c r="B105" t="s">
        <v>238</v>
      </c>
    </row>
    <row r="107" spans="1:5" x14ac:dyDescent="0.3">
      <c r="A107" s="4" t="s">
        <v>58</v>
      </c>
      <c r="B107" s="16">
        <f>IF($B$104="Upper Bound",$B$98,$B$99)</f>
        <v>1698512.3525714285</v>
      </c>
    </row>
    <row r="108" spans="1:5" x14ac:dyDescent="0.3">
      <c r="A108" s="4" t="s">
        <v>59</v>
      </c>
      <c r="B108" s="16">
        <f>IF($B$105="Upper Bound",$B$100,IF($B$105="Middle Bound",$B$101,$B$102))</f>
        <v>0.82724999999999993</v>
      </c>
    </row>
    <row r="110" spans="1:5" x14ac:dyDescent="0.3">
      <c r="A110" s="4" t="s">
        <v>60</v>
      </c>
      <c r="B110" s="16">
        <f>IF($B$104="Upper Bound",$C$98,$C$99)</f>
        <v>2034895.239245283</v>
      </c>
    </row>
    <row r="111" spans="1:5" x14ac:dyDescent="0.3">
      <c r="A111" s="4" t="s">
        <v>61</v>
      </c>
      <c r="B111" s="16">
        <f>IF($B$105="Upper Bound",$C$100,IF($B$105="Middle Bound",$C$101,$C$102))</f>
        <v>0.55259999999999998</v>
      </c>
    </row>
    <row r="113" spans="1:3" x14ac:dyDescent="0.3">
      <c r="A113" s="4" t="s">
        <v>62</v>
      </c>
    </row>
    <row r="114" spans="1:3" x14ac:dyDescent="0.3">
      <c r="A114" s="4" t="s">
        <v>64</v>
      </c>
      <c r="B114" s="12">
        <v>0.7</v>
      </c>
    </row>
    <row r="115" spans="1:3" x14ac:dyDescent="0.3">
      <c r="A115" t="s">
        <v>63</v>
      </c>
      <c r="B115" s="12">
        <v>2027</v>
      </c>
    </row>
    <row r="118" spans="1:3" x14ac:dyDescent="0.3">
      <c r="A118" s="4" t="s">
        <v>52</v>
      </c>
      <c r="B118" s="10">
        <f>B12</f>
        <v>397543.70971428556</v>
      </c>
      <c r="C118" s="10">
        <f>C12</f>
        <v>1218245.922</v>
      </c>
    </row>
    <row r="119" spans="1:3" x14ac:dyDescent="0.3">
      <c r="A119" s="4" t="s">
        <v>53</v>
      </c>
      <c r="B119" s="10">
        <f>B13</f>
        <v>869312.35257142852</v>
      </c>
      <c r="C119" s="10">
        <f>C13</f>
        <v>1422726.916</v>
      </c>
    </row>
    <row r="121" spans="1:3" x14ac:dyDescent="0.3">
      <c r="A121" t="s">
        <v>154</v>
      </c>
      <c r="B121" s="50">
        <f>IF($B$104="Upper Bound",$B$118,$B$119)</f>
        <v>869312.35257142852</v>
      </c>
    </row>
    <row r="122" spans="1:3" x14ac:dyDescent="0.3">
      <c r="A122" t="s">
        <v>155</v>
      </c>
      <c r="B122" s="50">
        <f>IF($B$104="Upper Bound",$C$118,$C$119)</f>
        <v>1422726.916</v>
      </c>
    </row>
    <row r="125" spans="1:3" x14ac:dyDescent="0.3">
      <c r="A125" t="s">
        <v>206</v>
      </c>
      <c r="B125" t="s">
        <v>229</v>
      </c>
      <c r="C125" s="75" t="s">
        <v>214</v>
      </c>
    </row>
    <row r="126" spans="1:3" x14ac:dyDescent="0.3">
      <c r="A126" t="s">
        <v>207</v>
      </c>
    </row>
    <row r="127" spans="1:3" x14ac:dyDescent="0.3">
      <c r="A127" t="s">
        <v>2</v>
      </c>
      <c r="B127" s="83">
        <v>0.1013</v>
      </c>
      <c r="C127" s="96" t="s">
        <v>210</v>
      </c>
    </row>
    <row r="128" spans="1:3" x14ac:dyDescent="0.3">
      <c r="A128" t="s">
        <v>3</v>
      </c>
      <c r="B128" s="83">
        <v>5.6800000000000003E-2</v>
      </c>
      <c r="C128" s="96" t="s">
        <v>211</v>
      </c>
    </row>
    <row r="130" spans="1:3" x14ac:dyDescent="0.3">
      <c r="A130" t="s">
        <v>208</v>
      </c>
    </row>
    <row r="131" spans="1:3" x14ac:dyDescent="0.3">
      <c r="A131" t="s">
        <v>2</v>
      </c>
      <c r="B131" s="84">
        <v>0.152</v>
      </c>
    </row>
    <row r="132" spans="1:3" x14ac:dyDescent="0.3">
      <c r="A132" t="s">
        <v>3</v>
      </c>
      <c r="B132" s="84">
        <v>0.17399999999999999</v>
      </c>
      <c r="C132" t="s">
        <v>209</v>
      </c>
    </row>
    <row r="135" spans="1:3" x14ac:dyDescent="0.3">
      <c r="A135" t="s">
        <v>224</v>
      </c>
      <c r="B135" t="s">
        <v>225</v>
      </c>
    </row>
    <row r="136" spans="1:3" ht="100.8" x14ac:dyDescent="0.3">
      <c r="A136" t="s">
        <v>225</v>
      </c>
      <c r="B136" s="82">
        <v>0.2</v>
      </c>
      <c r="C136" s="34" t="s">
        <v>223</v>
      </c>
    </row>
    <row r="137" spans="1:3" ht="100.8" x14ac:dyDescent="0.3">
      <c r="A137" t="s">
        <v>226</v>
      </c>
      <c r="B137" s="82">
        <v>0.5</v>
      </c>
      <c r="C137" s="34" t="s">
        <v>223</v>
      </c>
    </row>
  </sheetData>
  <mergeCells count="1">
    <mergeCell ref="A1:E1"/>
  </mergeCells>
  <phoneticPr fontId="9" type="noConversion"/>
  <dataValidations count="4">
    <dataValidation type="list" allowBlank="1" showInputMessage="1" showErrorMessage="1" sqref="B104" xr:uid="{FD64C596-52CC-4E4D-9A1F-067874383AE1}">
      <formula1>"Lower Bound, Upper Bound"</formula1>
    </dataValidation>
    <dataValidation type="list" allowBlank="1" showInputMessage="1" showErrorMessage="1" sqref="B105" xr:uid="{1AD7E243-FE2D-477D-A876-5E3C15B22ACF}">
      <formula1>"Lower Bound, Upper Bound, Middle Bound"</formula1>
    </dataValidation>
    <dataValidation type="list" allowBlank="1" showInputMessage="1" showErrorMessage="1" sqref="B125" xr:uid="{BC041644-0354-421F-874B-8890A9C15862}">
      <formula1>"Utility, Operator"</formula1>
    </dataValidation>
    <dataValidation type="list" allowBlank="1" showInputMessage="1" showErrorMessage="1" sqref="B135" xr:uid="{6B43C377-263C-4565-ABD1-43B89B598145}">
      <formula1>"Low, High"</formula1>
    </dataValidation>
  </dataValidations>
  <hyperlinks>
    <hyperlink ref="E23" r:id="rId1" xr:uid="{F32AEFB8-8F6E-4DDB-A00F-573EF917557F}"/>
    <hyperlink ref="E36" r:id="rId2" xr:uid="{08A4E0B3-FE20-4AD6-ACCF-2700F2DFE8AA}"/>
    <hyperlink ref="E44" r:id="rId3" display="https://energyalliance.org/wp-content/uploads/2026/06/1.-Structuring-For-The-Last-Mile-Full-Report.pdf_x000a__x000a_" xr:uid="{5F65AC99-5C59-4953-AB0A-DB6F6E0C5B57}"/>
    <hyperlink ref="E29" r:id="rId4" display="https://efficiencyforaccess.org/publications/lighting-a-path-to-affordability/" xr:uid="{B5F62A92-F9C8-4B6F-A6FD-AE00C3C23E8A}"/>
    <hyperlink ref="E45" r:id="rId5" display="https://energyalliance.org/wp-content/uploads/2026/06/1.-Structuring-For-The-Last-Mile-Full-Report.pdf_x000a__x000a_" xr:uid="{13F9145C-1778-44F5-A948-464622A08AC4}"/>
    <hyperlink ref="E46" r:id="rId6" display="https://energyalliance.org/wp-content/uploads/2026/06/1.-Structuring-For-The-Last-Mile-Full-Report.pdf_x000a__x000a_" xr:uid="{C8E706D5-06B1-4EDD-8314-8D67B14BA9B7}"/>
    <hyperlink ref="E60" r:id="rId7" display="https://www.oanda.com/currency-converter/en/?from=USD&amp;to=KES&amp;amount=1_x000a_" xr:uid="{7CB9C393-3B6D-4017-ADD3-DF6311678B7E}"/>
    <hyperlink ref="E37" r:id="rId8" xr:uid="{72F7CA52-5EBE-41AB-8C8A-9D189BE2C3B4}"/>
    <hyperlink ref="C128" r:id="rId9" xr:uid="{AEC75F7B-CA2B-4E99-B3F0-919FE3834E30}"/>
    <hyperlink ref="C127" r:id="rId10" xr:uid="{3248F3E0-716B-477A-B64E-A60E33929BDC}"/>
  </hyperlinks>
  <pageMargins left="0.7" right="0.7" top="0.75" bottom="0.75" header="0.3" footer="0.3"/>
  <pageSetup orientation="portrait"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C191A-496C-4E73-8769-2F9BF4EE036D}">
  <sheetPr codeName="Sheet3"/>
  <dimension ref="A1:N53"/>
  <sheetViews>
    <sheetView tabSelected="1" zoomScale="61" workbookViewId="0">
      <selection activeCell="E9" sqref="E9"/>
    </sheetView>
  </sheetViews>
  <sheetFormatPr defaultRowHeight="14.4" x14ac:dyDescent="0.3"/>
  <cols>
    <col min="1" max="1" width="51.88671875" bestFit="1" customWidth="1"/>
    <col min="2" max="2" width="20.109375" style="41" customWidth="1"/>
    <col min="3" max="3" width="23.109375" bestFit="1" customWidth="1"/>
    <col min="4" max="4" width="25.33203125" customWidth="1"/>
    <col min="5" max="5" width="22.6640625" customWidth="1"/>
    <col min="6" max="6" width="24.33203125" customWidth="1"/>
    <col min="7" max="7" width="21" customWidth="1"/>
    <col min="8" max="12" width="19.33203125" customWidth="1"/>
    <col min="13" max="13" width="22.5546875" style="41" bestFit="1" customWidth="1"/>
    <col min="14" max="14" width="11.33203125" bestFit="1" customWidth="1"/>
  </cols>
  <sheetData>
    <row r="1" spans="1:13" ht="16.8" customHeight="1" x14ac:dyDescent="0.3">
      <c r="A1" s="99" t="s">
        <v>49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 x14ac:dyDescent="0.3">
      <c r="A2" s="39" t="s">
        <v>51</v>
      </c>
      <c r="B2" s="54"/>
      <c r="C2" s="39"/>
      <c r="D2" s="39"/>
      <c r="E2" s="39"/>
      <c r="F2" s="39"/>
      <c r="G2" s="39"/>
      <c r="H2" s="39"/>
      <c r="I2" s="39"/>
      <c r="J2" s="39"/>
      <c r="K2" s="39"/>
      <c r="L2" s="39"/>
      <c r="M2" s="40" t="s">
        <v>111</v>
      </c>
    </row>
    <row r="3" spans="1:13" x14ac:dyDescent="0.3">
      <c r="A3" t="s">
        <v>50</v>
      </c>
      <c r="B3" s="60">
        <v>2025</v>
      </c>
      <c r="C3" s="61">
        <v>2026</v>
      </c>
      <c r="D3" s="61">
        <v>2027</v>
      </c>
      <c r="E3" s="61">
        <v>2028</v>
      </c>
      <c r="F3" s="61">
        <v>2029</v>
      </c>
      <c r="G3" s="61">
        <v>2030</v>
      </c>
      <c r="H3" s="61">
        <v>2031</v>
      </c>
      <c r="I3" s="61">
        <v>2032</v>
      </c>
      <c r="J3" s="61">
        <v>2033</v>
      </c>
      <c r="K3" s="61">
        <v>2034</v>
      </c>
      <c r="L3" s="61">
        <v>2035</v>
      </c>
    </row>
    <row r="4" spans="1:13" x14ac:dyDescent="0.3">
      <c r="A4" s="64" t="s">
        <v>119</v>
      </c>
      <c r="B4" s="62">
        <f>Assumptions!$B$121*(1/(1+EXP(-Assumptions!$B$114*(B$3-Assumptions!$B$115))) - 1/(1+EXP(-Assumptions!$B$114*($B$3-Assumptions!$B$115)))) / (1/(1+EXP(-Assumptions!$B$114*($G$3-Assumptions!$B$115))) - 1/(1+EXP(-Assumptions!$B$114*($B$3-Assumptions!$B$115))))</f>
        <v>0</v>
      </c>
      <c r="C4" s="62">
        <f>Assumptions!$B$121*(1/(1+EXP(-Assumptions!$B$114*(C$3-Assumptions!$B$115))) - 1/(1+EXP(-Assumptions!$B$114*($B$3-Assumptions!$B$115)))) / (1/(1+EXP(-Assumptions!$B$114*($G$3-Assumptions!$B$115))) - 1/(1+EXP(-Assumptions!$B$114*($B$3-Assumptions!$B$115))))</f>
        <v>168066.15598525433</v>
      </c>
      <c r="D4" s="62">
        <f>Assumptions!$B$121*(1/(1+EXP(-Assumptions!$B$114*(D$3-Assumptions!$B$115))) - 1/(1+EXP(-Assumptions!$B$114*($B$3-Assumptions!$B$115)))) / (1/(1+EXP(-Assumptions!$B$114*($G$3-Assumptions!$B$115))) - 1/(1+EXP(-Assumptions!$B$114*($B$3-Assumptions!$B$115))))</f>
        <v>379017.58587348094</v>
      </c>
      <c r="E4" s="62">
        <f>Assumptions!$B$121*(1/(1+EXP(-Assumptions!$B$114*(E$3-Assumptions!$B$115))) - 1/(1+EXP(-Assumptions!$B$114*($B$3-Assumptions!$B$115)))) / (1/(1+EXP(-Assumptions!$B$114*($G$3-Assumptions!$B$115))) - 1/(1+EXP(-Assumptions!$B$114*($B$3-Assumptions!$B$115))))</f>
        <v>589969.01576170756</v>
      </c>
      <c r="F4" s="62">
        <f>Assumptions!$B$121*(1/(1+EXP(-Assumptions!$B$114*(F$3-Assumptions!$B$115))) - 1/(1+EXP(-Assumptions!$B$114*($B$3-Assumptions!$B$115)))) / (1/(1+EXP(-Assumptions!$B$114*($G$3-Assumptions!$B$115))) - 1/(1+EXP(-Assumptions!$B$114*($B$3-Assumptions!$B$115))))</f>
        <v>758035.17174696166</v>
      </c>
      <c r="G4" s="62">
        <f>Assumptions!$B$121*(1/(1+EXP(-Assumptions!$B$114*(G$3-Assumptions!$B$115))) - 1/(1+EXP(-Assumptions!$B$114*($B$3-Assumptions!$B$115)))) / (1/(1+EXP(-Assumptions!$B$114*($G$3-Assumptions!$B$115))) - 1/(1+EXP(-Assumptions!$B$114*($B$3-Assumptions!$B$115))))</f>
        <v>869312.35257142864</v>
      </c>
      <c r="H4" s="62">
        <f>$G$4</f>
        <v>869312.35257142864</v>
      </c>
      <c r="I4" s="62">
        <f t="shared" ref="I4:L4" si="0">$G$4</f>
        <v>869312.35257142864</v>
      </c>
      <c r="J4" s="62">
        <f t="shared" si="0"/>
        <v>869312.35257142864</v>
      </c>
      <c r="K4" s="62">
        <f t="shared" si="0"/>
        <v>869312.35257142864</v>
      </c>
      <c r="L4" s="63">
        <f t="shared" si="0"/>
        <v>869312.35257142864</v>
      </c>
      <c r="M4" s="17">
        <f>L4</f>
        <v>869312.35257142864</v>
      </c>
    </row>
    <row r="5" spans="1:13" x14ac:dyDescent="0.3">
      <c r="A5" t="s">
        <v>120</v>
      </c>
      <c r="B5" s="55">
        <f>B4</f>
        <v>0</v>
      </c>
      <c r="C5" s="50">
        <f>C4-B4</f>
        <v>168066.15598525433</v>
      </c>
      <c r="D5" s="50">
        <f t="shared" ref="D5:L5" si="1">D4-C4</f>
        <v>210951.42988822662</v>
      </c>
      <c r="E5" s="50">
        <f t="shared" si="1"/>
        <v>210951.42988822662</v>
      </c>
      <c r="F5" s="50">
        <f t="shared" si="1"/>
        <v>168066.1559852541</v>
      </c>
      <c r="G5" s="50">
        <f t="shared" si="1"/>
        <v>111277.18082446698</v>
      </c>
      <c r="H5" s="50">
        <f t="shared" si="1"/>
        <v>0</v>
      </c>
      <c r="I5" s="50">
        <f t="shared" si="1"/>
        <v>0</v>
      </c>
      <c r="J5" s="50">
        <f t="shared" si="1"/>
        <v>0</v>
      </c>
      <c r="K5" s="50">
        <f t="shared" si="1"/>
        <v>0</v>
      </c>
      <c r="L5" s="50">
        <f t="shared" si="1"/>
        <v>0</v>
      </c>
      <c r="M5" s="42">
        <f>SUM(B5:L5)</f>
        <v>869312.35257142864</v>
      </c>
    </row>
    <row r="6" spans="1:13" x14ac:dyDescent="0.3">
      <c r="A6" t="s">
        <v>144</v>
      </c>
      <c r="B6" s="44">
        <v>0</v>
      </c>
      <c r="C6" s="16">
        <v>0</v>
      </c>
      <c r="D6" s="16">
        <v>0</v>
      </c>
      <c r="E6" s="16">
        <v>0</v>
      </c>
      <c r="F6" s="16">
        <v>0</v>
      </c>
      <c r="G6" s="16">
        <v>0</v>
      </c>
      <c r="H6" s="16">
        <f>B5</f>
        <v>0</v>
      </c>
      <c r="I6" s="16">
        <f t="shared" ref="I6:L6" si="2">C5</f>
        <v>168066.15598525433</v>
      </c>
      <c r="J6" s="16">
        <f t="shared" si="2"/>
        <v>210951.42988822662</v>
      </c>
      <c r="K6" s="16">
        <f t="shared" si="2"/>
        <v>210951.42988822662</v>
      </c>
      <c r="L6" s="16">
        <f t="shared" si="2"/>
        <v>168066.1559852541</v>
      </c>
      <c r="M6" s="42"/>
    </row>
    <row r="7" spans="1:13" x14ac:dyDescent="0.3">
      <c r="A7" t="s">
        <v>156</v>
      </c>
      <c r="B7" s="44">
        <f>B5+B6</f>
        <v>0</v>
      </c>
      <c r="C7" s="65">
        <f t="shared" ref="C7:L7" si="3">C5+C6</f>
        <v>168066.15598525433</v>
      </c>
      <c r="D7" s="65">
        <f t="shared" si="3"/>
        <v>210951.42988822662</v>
      </c>
      <c r="E7" s="65">
        <f t="shared" si="3"/>
        <v>210951.42988822662</v>
      </c>
      <c r="F7" s="65">
        <f t="shared" si="3"/>
        <v>168066.1559852541</v>
      </c>
      <c r="G7" s="65">
        <f t="shared" si="3"/>
        <v>111277.18082446698</v>
      </c>
      <c r="H7" s="65">
        <f t="shared" si="3"/>
        <v>0</v>
      </c>
      <c r="I7" s="65">
        <f t="shared" si="3"/>
        <v>168066.15598525433</v>
      </c>
      <c r="J7" s="65">
        <f t="shared" si="3"/>
        <v>210951.42988822662</v>
      </c>
      <c r="K7" s="65">
        <f t="shared" si="3"/>
        <v>210951.42988822662</v>
      </c>
      <c r="L7" s="66">
        <f t="shared" si="3"/>
        <v>168066.1559852541</v>
      </c>
      <c r="M7" s="17"/>
    </row>
    <row r="8" spans="1:13" x14ac:dyDescent="0.3">
      <c r="A8" s="98" t="s">
        <v>67</v>
      </c>
      <c r="B8" s="98"/>
      <c r="C8" s="98"/>
      <c r="D8" s="98"/>
      <c r="E8" s="98"/>
      <c r="F8" s="98"/>
      <c r="G8" s="98"/>
      <c r="H8" s="47"/>
      <c r="I8" s="47"/>
      <c r="J8" s="47"/>
      <c r="K8" s="47"/>
      <c r="L8" s="47"/>
      <c r="M8" s="43"/>
    </row>
    <row r="9" spans="1:13" x14ac:dyDescent="0.3">
      <c r="A9" t="s">
        <v>109</v>
      </c>
      <c r="B9" s="42">
        <f>Assumptions!$B$31*B4</f>
        <v>0</v>
      </c>
      <c r="C9" s="17">
        <f>Assumptions!$B$31*C4</f>
        <v>11012247.172210194</v>
      </c>
      <c r="D9" s="17">
        <f>Assumptions!$B$31*D4</f>
        <v>24834478.505115427</v>
      </c>
      <c r="E9" s="17">
        <f>Assumptions!$B$31*E4</f>
        <v>38656709.83802066</v>
      </c>
      <c r="F9" s="17">
        <f>Assumptions!$B$31*F4</f>
        <v>49668957.010230839</v>
      </c>
      <c r="G9" s="17">
        <f>Assumptions!$B$31*G4</f>
        <v>56960203.797438093</v>
      </c>
      <c r="H9" s="17">
        <f>Assumptions!$B$31*H4</f>
        <v>56960203.797438093</v>
      </c>
      <c r="I9" s="17">
        <f>Assumptions!$B$31*I4</f>
        <v>56960203.797438093</v>
      </c>
      <c r="J9" s="17">
        <f>Assumptions!$B$31*J4</f>
        <v>56960203.797438093</v>
      </c>
      <c r="K9" s="17">
        <f>Assumptions!$B$31*K4</f>
        <v>56960203.797438093</v>
      </c>
      <c r="L9" s="17">
        <f>Assumptions!$B$31*L4</f>
        <v>56960203.797438093</v>
      </c>
      <c r="M9" s="52">
        <f>SUM(B9:L9)</f>
        <v>465933615.31020564</v>
      </c>
    </row>
    <row r="10" spans="1:13" x14ac:dyDescent="0.3">
      <c r="A10" t="s">
        <v>65</v>
      </c>
      <c r="B10" s="44">
        <f>B$4*Assumptions!$B$108*12</f>
        <v>0</v>
      </c>
      <c r="C10" s="65">
        <f>C$4*Assumptions!$B$108*12</f>
        <v>1668392.7304656198</v>
      </c>
      <c r="D10" s="65">
        <f>D$4*Assumptions!$B$108*12</f>
        <v>3762507.5749660451</v>
      </c>
      <c r="E10" s="65">
        <f>E$4*Assumptions!$B$108*12</f>
        <v>5856622.4194664704</v>
      </c>
      <c r="F10" s="65">
        <f>F$4*Assumptions!$B$108*12</f>
        <v>7525015.1499320883</v>
      </c>
      <c r="G10" s="65">
        <f>G$4*Assumptions!$B$108*12</f>
        <v>8629663.7239765711</v>
      </c>
      <c r="H10" s="65">
        <f>H$4*Assumptions!$B$108*12</f>
        <v>8629663.7239765711</v>
      </c>
      <c r="I10" s="65">
        <f>I$4*Assumptions!$B$108*12</f>
        <v>8629663.7239765711</v>
      </c>
      <c r="J10" s="65">
        <f>J$4*Assumptions!$B$108*12</f>
        <v>8629663.7239765711</v>
      </c>
      <c r="K10" s="65">
        <f>K$4*Assumptions!$B$108*12</f>
        <v>8629663.7239765711</v>
      </c>
      <c r="L10" s="66">
        <f>L$4*Assumptions!$B$108*12</f>
        <v>8629663.7239765711</v>
      </c>
      <c r="M10" s="17">
        <f t="shared" ref="M10:M11" si="4">SUM(B10:L10)</f>
        <v>70590520.218689635</v>
      </c>
    </row>
    <row r="11" spans="1:13" x14ac:dyDescent="0.3">
      <c r="A11" t="s">
        <v>66</v>
      </c>
      <c r="B11" s="42">
        <f t="shared" ref="B11:L11" si="5">B9-B10</f>
        <v>0</v>
      </c>
      <c r="C11" s="17">
        <f t="shared" si="5"/>
        <v>9343854.4417445734</v>
      </c>
      <c r="D11" s="17">
        <f t="shared" si="5"/>
        <v>21071970.930149384</v>
      </c>
      <c r="E11" s="17">
        <f t="shared" si="5"/>
        <v>32800087.418554191</v>
      </c>
      <c r="F11" s="17">
        <f t="shared" si="5"/>
        <v>42143941.860298753</v>
      </c>
      <c r="G11" s="17">
        <f t="shared" si="5"/>
        <v>48330540.073461518</v>
      </c>
      <c r="H11" s="17">
        <f t="shared" si="5"/>
        <v>48330540.073461518</v>
      </c>
      <c r="I11" s="17">
        <f t="shared" si="5"/>
        <v>48330540.073461518</v>
      </c>
      <c r="J11" s="17">
        <f t="shared" si="5"/>
        <v>48330540.073461518</v>
      </c>
      <c r="K11" s="17">
        <f t="shared" si="5"/>
        <v>48330540.073461518</v>
      </c>
      <c r="L11" s="17">
        <f t="shared" si="5"/>
        <v>48330540.073461518</v>
      </c>
      <c r="M11" s="52">
        <f t="shared" si="4"/>
        <v>395343095.09151608</v>
      </c>
    </row>
    <row r="12" spans="1:13" x14ac:dyDescent="0.3">
      <c r="A12" s="98" t="s">
        <v>68</v>
      </c>
      <c r="B12" s="98"/>
      <c r="C12" s="98"/>
      <c r="D12" s="98"/>
      <c r="E12" s="98"/>
      <c r="F12" s="98"/>
      <c r="G12" s="98"/>
      <c r="H12" s="47"/>
      <c r="I12" s="47"/>
      <c r="J12" s="47"/>
      <c r="K12" s="47"/>
      <c r="L12" s="47"/>
      <c r="M12" s="43"/>
    </row>
    <row r="13" spans="1:13" x14ac:dyDescent="0.3">
      <c r="A13" t="s">
        <v>73</v>
      </c>
      <c r="B13" s="56">
        <f>Assumptions!$B$57</f>
        <v>1695936334.1067283</v>
      </c>
      <c r="C13" s="19">
        <f>B13*Assumptions!$B$58+B13</f>
        <v>1711129280.932405</v>
      </c>
      <c r="D13" s="19">
        <f>C13*Assumptions!$B$58+C13</f>
        <v>1726458332.8869157</v>
      </c>
      <c r="E13" s="19">
        <f>D13*Assumptions!$B$58+D13</f>
        <v>1741924709.2601261</v>
      </c>
      <c r="F13" s="19">
        <f>E13*Assumptions!$B$58+E13</f>
        <v>1757529640.2648392</v>
      </c>
      <c r="G13" s="19">
        <f>F13*Assumptions!$B$58+F13</f>
        <v>1773274367.1346476</v>
      </c>
      <c r="H13" s="19">
        <f>G13*Assumptions!$B$58+G13</f>
        <v>1789160142.2226627</v>
      </c>
      <c r="I13" s="19">
        <f>H13*Assumptions!$B$58+H13</f>
        <v>1805188229.1011283</v>
      </c>
      <c r="J13" s="19">
        <f>I13*Assumptions!$B$58+I13</f>
        <v>1821359902.6619267</v>
      </c>
      <c r="K13" s="19">
        <f>J13*Assumptions!$B$58+J13</f>
        <v>1837676449.2179847</v>
      </c>
      <c r="L13" s="19">
        <f>K13*Assumptions!$B$58+K13</f>
        <v>1854139166.6055882</v>
      </c>
      <c r="M13" s="56">
        <f>SUM(B13:L13)</f>
        <v>19513776554.394947</v>
      </c>
    </row>
    <row r="14" spans="1:13" x14ac:dyDescent="0.3">
      <c r="A14" t="s">
        <v>71</v>
      </c>
      <c r="B14" s="57">
        <f>B13*Assumptions!$B$59</f>
        <v>84796816.705336422</v>
      </c>
      <c r="C14" s="20">
        <f>C13*Assumptions!$B$59</f>
        <v>85556464.04662025</v>
      </c>
      <c r="D14" s="20">
        <f>D13*Assumptions!$B$59</f>
        <v>86322916.64434579</v>
      </c>
      <c r="E14" s="20">
        <f>E13*Assumptions!$B$59</f>
        <v>87096235.463006318</v>
      </c>
      <c r="F14" s="20">
        <f>F13*Assumptions!$B$59</f>
        <v>87876482.013241962</v>
      </c>
      <c r="G14" s="20">
        <f>G13*Assumptions!$B$59</f>
        <v>88663718.356732383</v>
      </c>
      <c r="H14" s="20">
        <f>H13*Assumptions!$B$59</f>
        <v>89458007.111133143</v>
      </c>
      <c r="I14" s="20">
        <f>I13*Assumptions!$B$59</f>
        <v>90259411.455056429</v>
      </c>
      <c r="J14" s="20">
        <f>J13*Assumptions!$B$59</f>
        <v>91067995.133096337</v>
      </c>
      <c r="K14" s="20">
        <f>K13*Assumptions!$B$59</f>
        <v>91883822.460899234</v>
      </c>
      <c r="L14" s="20">
        <f>L13*Assumptions!$B$59</f>
        <v>92706958.33027941</v>
      </c>
      <c r="M14" s="89">
        <f>SUM(B14:L14)</f>
        <v>975688827.71974754</v>
      </c>
    </row>
    <row r="15" spans="1:13" x14ac:dyDescent="0.3">
      <c r="A15" t="s">
        <v>72</v>
      </c>
      <c r="B15" s="58">
        <f t="shared" ref="B15:K15" si="6">B11/B14</f>
        <v>0</v>
      </c>
      <c r="C15" s="8">
        <f t="shared" si="6"/>
        <v>0.1092127233852611</v>
      </c>
      <c r="D15" s="8">
        <f t="shared" si="6"/>
        <v>0.24410633640852092</v>
      </c>
      <c r="E15" s="8">
        <f t="shared" si="6"/>
        <v>0.37659592569286027</v>
      </c>
      <c r="F15" s="8">
        <f t="shared" si="6"/>
        <v>0.47958157740028956</v>
      </c>
      <c r="G15" s="8">
        <f t="shared" si="6"/>
        <v>0.54509940445997207</v>
      </c>
      <c r="H15" s="8">
        <f t="shared" si="6"/>
        <v>0.54025952102220187</v>
      </c>
      <c r="I15" s="8">
        <f t="shared" si="6"/>
        <v>0.53546261042846621</v>
      </c>
      <c r="J15" s="8">
        <f t="shared" si="6"/>
        <v>0.53070829112715379</v>
      </c>
      <c r="K15" s="8">
        <f t="shared" si="6"/>
        <v>0.52599618495441214</v>
      </c>
      <c r="L15" s="8">
        <f>L11/L14</f>
        <v>0.52132591710406784</v>
      </c>
      <c r="M15" s="97">
        <f>M11/M14</f>
        <v>0.40519383215185556</v>
      </c>
    </row>
    <row r="16" spans="1:13" x14ac:dyDescent="0.3">
      <c r="A16" s="98" t="s">
        <v>106</v>
      </c>
      <c r="B16" s="98"/>
      <c r="C16" s="98"/>
      <c r="D16" s="98"/>
      <c r="E16" s="98"/>
      <c r="F16" s="98"/>
      <c r="G16" s="98"/>
      <c r="H16" s="47"/>
      <c r="I16" s="47"/>
      <c r="J16" s="47"/>
      <c r="K16" s="47"/>
      <c r="L16" s="47"/>
      <c r="M16" s="43"/>
    </row>
    <row r="17" spans="1:14" x14ac:dyDescent="0.3">
      <c r="A17" t="s">
        <v>81</v>
      </c>
      <c r="B17" s="59">
        <v>0</v>
      </c>
      <c r="C17" s="10">
        <v>61930</v>
      </c>
      <c r="D17" s="10">
        <v>77760</v>
      </c>
      <c r="E17" s="10">
        <v>77720</v>
      </c>
      <c r="F17" s="10">
        <v>61980</v>
      </c>
      <c r="G17" s="10">
        <v>40888</v>
      </c>
      <c r="H17" s="10"/>
      <c r="I17" s="10"/>
      <c r="J17" s="10"/>
      <c r="K17" s="10"/>
      <c r="L17" s="10"/>
      <c r="M17" s="44">
        <f>SUM(B17:L17)</f>
        <v>320278</v>
      </c>
      <c r="N17" s="10"/>
    </row>
    <row r="18" spans="1:14" x14ac:dyDescent="0.3">
      <c r="A18" t="s">
        <v>87</v>
      </c>
      <c r="B18" s="59">
        <v>0</v>
      </c>
      <c r="C18" s="10">
        <v>38485</v>
      </c>
      <c r="D18" s="10">
        <v>48322</v>
      </c>
      <c r="E18" s="10">
        <v>48306</v>
      </c>
      <c r="F18" s="10">
        <v>38497</v>
      </c>
      <c r="G18" s="10">
        <v>25438</v>
      </c>
      <c r="H18" s="10"/>
      <c r="I18" s="10"/>
      <c r="J18" s="10"/>
      <c r="K18" s="10"/>
      <c r="L18" s="10"/>
      <c r="M18" s="44">
        <f t="shared" ref="M18:M27" si="7">SUM(B18:L18)</f>
        <v>199048</v>
      </c>
      <c r="N18" s="10"/>
    </row>
    <row r="19" spans="1:14" x14ac:dyDescent="0.3">
      <c r="A19" t="s">
        <v>82</v>
      </c>
      <c r="B19" s="59">
        <v>0</v>
      </c>
      <c r="C19" s="10">
        <v>1697</v>
      </c>
      <c r="D19" s="10">
        <v>2355</v>
      </c>
      <c r="E19" s="10">
        <v>2644</v>
      </c>
      <c r="F19" s="10">
        <v>2357</v>
      </c>
      <c r="G19" s="10">
        <v>1695</v>
      </c>
      <c r="H19" s="10"/>
      <c r="I19" s="10"/>
      <c r="J19" s="10"/>
      <c r="K19" s="10"/>
      <c r="L19" s="10"/>
      <c r="M19" s="44">
        <f t="shared" si="7"/>
        <v>10748</v>
      </c>
      <c r="N19" s="10"/>
    </row>
    <row r="20" spans="1:14" x14ac:dyDescent="0.3">
      <c r="A20" t="s">
        <v>89</v>
      </c>
      <c r="B20" s="44">
        <f>B17*Assumptions!$B$88</f>
        <v>0</v>
      </c>
      <c r="C20" s="16">
        <f>C17*Assumptions!$B$88</f>
        <v>71529150</v>
      </c>
      <c r="D20" s="16">
        <f>D17*Assumptions!$B$88</f>
        <v>89812800</v>
      </c>
      <c r="E20" s="16">
        <f>E17*Assumptions!$B$88</f>
        <v>89766600</v>
      </c>
      <c r="F20" s="16">
        <f>F17*Assumptions!$B$88</f>
        <v>71586900</v>
      </c>
      <c r="G20" s="16">
        <f>G17*Assumptions!$B$88</f>
        <v>47225640</v>
      </c>
      <c r="H20" s="16"/>
      <c r="I20" s="16"/>
      <c r="J20" s="16"/>
      <c r="K20" s="16"/>
      <c r="L20" s="16"/>
      <c r="M20" s="44">
        <f t="shared" si="7"/>
        <v>369921090</v>
      </c>
      <c r="N20" s="10"/>
    </row>
    <row r="21" spans="1:14" x14ac:dyDescent="0.3">
      <c r="A21" t="s">
        <v>90</v>
      </c>
      <c r="B21" s="44">
        <f>B18*Assumptions!$B$89</f>
        <v>0</v>
      </c>
      <c r="C21" s="16">
        <f>C18*Assumptions!$B$89</f>
        <v>51454445</v>
      </c>
      <c r="D21" s="16">
        <f>D18*Assumptions!$B$89</f>
        <v>64606514</v>
      </c>
      <c r="E21" s="16">
        <f>E18*Assumptions!$B$89</f>
        <v>64585122</v>
      </c>
      <c r="F21" s="16">
        <f>F18*Assumptions!$B$89</f>
        <v>51470489</v>
      </c>
      <c r="G21" s="16">
        <f>G18*Assumptions!$B$89</f>
        <v>34010606</v>
      </c>
      <c r="H21" s="16"/>
      <c r="I21" s="16"/>
      <c r="J21" s="16"/>
      <c r="K21" s="16"/>
      <c r="L21" s="16"/>
      <c r="M21" s="44">
        <f t="shared" si="7"/>
        <v>266127176</v>
      </c>
      <c r="N21" s="10"/>
    </row>
    <row r="22" spans="1:14" x14ac:dyDescent="0.3">
      <c r="A22" t="s">
        <v>91</v>
      </c>
      <c r="B22" s="44">
        <f>B19*Assumptions!$B$91</f>
        <v>0</v>
      </c>
      <c r="C22" s="16">
        <f>C19*Assumptions!$B$91</f>
        <v>354673</v>
      </c>
      <c r="D22" s="16">
        <f>D19*Assumptions!$B$91</f>
        <v>492195</v>
      </c>
      <c r="E22" s="16">
        <f>E19*Assumptions!$B$91</f>
        <v>552596</v>
      </c>
      <c r="F22" s="16">
        <f>F19*Assumptions!$B$91</f>
        <v>492613</v>
      </c>
      <c r="G22" s="16">
        <f>G19*Assumptions!$B$91</f>
        <v>354255</v>
      </c>
      <c r="H22" s="16"/>
      <c r="I22" s="16"/>
      <c r="J22" s="16"/>
      <c r="K22" s="16"/>
      <c r="L22" s="16"/>
      <c r="M22" s="95">
        <v>21600000</v>
      </c>
      <c r="N22" s="10"/>
    </row>
    <row r="23" spans="1:14" x14ac:dyDescent="0.3">
      <c r="A23" t="s">
        <v>105</v>
      </c>
      <c r="B23" s="44">
        <f>SUM(B21:B22)</f>
        <v>0</v>
      </c>
      <c r="C23" s="16">
        <f t="shared" ref="C23:G23" si="8">SUM(C21:C22)</f>
        <v>51809118</v>
      </c>
      <c r="D23" s="16">
        <f t="shared" si="8"/>
        <v>65098709</v>
      </c>
      <c r="E23" s="16">
        <f t="shared" si="8"/>
        <v>65137718</v>
      </c>
      <c r="F23" s="16">
        <f t="shared" si="8"/>
        <v>51963102</v>
      </c>
      <c r="G23" s="16">
        <f t="shared" si="8"/>
        <v>34364861</v>
      </c>
      <c r="H23" s="16"/>
      <c r="I23" s="16"/>
      <c r="J23" s="16"/>
      <c r="K23" s="16"/>
      <c r="L23" s="16"/>
      <c r="M23" s="44">
        <f t="shared" si="7"/>
        <v>268373508</v>
      </c>
      <c r="N23" s="10"/>
    </row>
    <row r="24" spans="1:14" x14ac:dyDescent="0.3">
      <c r="A24" t="s">
        <v>92</v>
      </c>
      <c r="B24" s="42">
        <f>SUM(B20:B22)</f>
        <v>0</v>
      </c>
      <c r="C24" s="17">
        <f>SUM(C20:C22)</f>
        <v>123338268</v>
      </c>
      <c r="D24" s="17">
        <f t="shared" ref="D24:G24" si="9">SUM(D20:D22)</f>
        <v>154911509</v>
      </c>
      <c r="E24" s="17">
        <f t="shared" si="9"/>
        <v>154904318</v>
      </c>
      <c r="F24" s="17">
        <f t="shared" si="9"/>
        <v>123550002</v>
      </c>
      <c r="G24" s="17">
        <f t="shared" si="9"/>
        <v>81590501</v>
      </c>
      <c r="H24" s="17"/>
      <c r="I24" s="17"/>
      <c r="J24" s="17"/>
      <c r="K24" s="17"/>
      <c r="L24" s="17"/>
      <c r="M24" s="53">
        <f>SUM(B24:L24)</f>
        <v>638294598</v>
      </c>
      <c r="N24" s="10"/>
    </row>
    <row r="25" spans="1:14" x14ac:dyDescent="0.3">
      <c r="A25" t="s">
        <v>148</v>
      </c>
      <c r="B25" s="42">
        <f>(B21+B22)*Assumptions!$B$94</f>
        <v>0</v>
      </c>
      <c r="C25" s="17">
        <f>(C21+C22)*Assumptions!$B$94</f>
        <v>25904559</v>
      </c>
      <c r="D25" s="17">
        <f>(D21+D22)*Assumptions!$B$94</f>
        <v>32549354.5</v>
      </c>
      <c r="E25" s="17">
        <f>(E21+E22)*Assumptions!$B$94</f>
        <v>32568859</v>
      </c>
      <c r="F25" s="17">
        <f>(F21+F22)*Assumptions!$B$94</f>
        <v>25981551</v>
      </c>
      <c r="G25" s="17">
        <f>(G21+G22)*Assumptions!$B$94</f>
        <v>17182430.5</v>
      </c>
      <c r="H25" s="17"/>
      <c r="I25" s="17"/>
      <c r="J25" s="17"/>
      <c r="K25" s="17"/>
      <c r="L25" s="17"/>
      <c r="M25" s="53">
        <f t="shared" si="7"/>
        <v>134186754</v>
      </c>
      <c r="N25" s="10"/>
    </row>
    <row r="26" spans="1:14" x14ac:dyDescent="0.3">
      <c r="A26" t="s">
        <v>103</v>
      </c>
      <c r="B26" s="42">
        <v>0</v>
      </c>
      <c r="C26" s="8">
        <f>(C25*(C22/(C21+C22)))/C25</f>
        <v>6.8457640988985758E-3</v>
      </c>
      <c r="D26" s="8">
        <f t="shared" ref="D26:G26" si="10">(D25*(D22/(D21+D22)))/D25</f>
        <v>7.5607490157754125E-3</v>
      </c>
      <c r="E26" s="8">
        <f t="shared" si="10"/>
        <v>8.4835025998301009E-3</v>
      </c>
      <c r="F26" s="8">
        <f t="shared" si="10"/>
        <v>9.4800537504477703E-3</v>
      </c>
      <c r="G26" s="8">
        <f t="shared" si="10"/>
        <v>1.0308640561648132E-2</v>
      </c>
      <c r="H26" s="8"/>
      <c r="I26" s="8"/>
      <c r="J26" s="8"/>
      <c r="K26" s="8"/>
      <c r="L26" s="8"/>
      <c r="M26" s="44"/>
      <c r="N26" s="10"/>
    </row>
    <row r="27" spans="1:14" x14ac:dyDescent="0.3">
      <c r="A27" t="s">
        <v>149</v>
      </c>
      <c r="B27" s="42">
        <f>B20*Assumptions!$B$92+(B21+B22)*Assumptions!$B$94</f>
        <v>0</v>
      </c>
      <c r="C27" s="17">
        <f>C20*Assumptions!$B$92+(C21+C22)*Assumptions!$B$94</f>
        <v>97433709</v>
      </c>
      <c r="D27" s="17">
        <f>D20*Assumptions!$B$92+(D21+D22)*Assumptions!$B$94</f>
        <v>122362154.5</v>
      </c>
      <c r="E27" s="17">
        <f>E20*Assumptions!$B$92+(E21+E22)*Assumptions!$B$94</f>
        <v>122335459</v>
      </c>
      <c r="F27" s="17">
        <f>F20*Assumptions!$B$92+(F21+F22)*Assumptions!$B$94</f>
        <v>97568451</v>
      </c>
      <c r="G27" s="17">
        <f>G20*Assumptions!$B$92+(G21+G22)*Assumptions!$B$94</f>
        <v>64408070.5</v>
      </c>
      <c r="H27" s="17"/>
      <c r="I27" s="17"/>
      <c r="J27" s="17"/>
      <c r="K27" s="17"/>
      <c r="L27" s="17"/>
      <c r="M27" s="44">
        <f t="shared" si="7"/>
        <v>504107844</v>
      </c>
      <c r="N27" s="10"/>
    </row>
    <row r="28" spans="1:14" x14ac:dyDescent="0.3">
      <c r="A28" s="98" t="s">
        <v>151</v>
      </c>
      <c r="B28" s="98"/>
      <c r="C28" s="98"/>
      <c r="D28" s="98"/>
      <c r="E28" s="98"/>
      <c r="F28" s="98"/>
      <c r="G28" s="98"/>
      <c r="H28" s="47"/>
      <c r="I28" s="47"/>
      <c r="J28" s="47"/>
      <c r="K28" s="47"/>
      <c r="L28" s="47"/>
      <c r="M28" s="46"/>
    </row>
    <row r="29" spans="1:14" hidden="1" x14ac:dyDescent="0.3">
      <c r="A29" s="48" t="s">
        <v>318</v>
      </c>
      <c r="B29" s="42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44"/>
      <c r="N29" s="10"/>
    </row>
    <row r="30" spans="1:14" hidden="1" x14ac:dyDescent="0.3">
      <c r="A30" t="s">
        <v>130</v>
      </c>
      <c r="B30" s="42">
        <f>(Assumptions!$B$16*(Assumptions!$B$26*B7))</f>
        <v>0</v>
      </c>
      <c r="C30" s="17">
        <f>(Assumptions!$B$16*(Assumptions!$B$26*(C7+B7)))</f>
        <v>21661535.77387774</v>
      </c>
      <c r="D30" s="17">
        <f>(Assumptions!$B$16*(Assumptions!$B$26*(D7+C7)))</f>
        <v>48850424.091614969</v>
      </c>
      <c r="E30" s="17">
        <f>(Assumptions!$B$16*(Assumptions!$B$26*(E7+D7)))</f>
        <v>54377776.635474443</v>
      </c>
      <c r="F30" s="17">
        <f>(Assumptions!$B$16*(Assumptions!$B$26*(F7+E7)))</f>
        <v>48850424.091614939</v>
      </c>
      <c r="G30" s="17">
        <f>(Assumptions!$B$16*(Assumptions!$B$26*(G7+F7)))</f>
        <v>36003713.228432804</v>
      </c>
      <c r="H30" s="17">
        <f>(Assumptions!$B$16*(Assumptions!$B$26*(H7+G7)))</f>
        <v>14342177.454555091</v>
      </c>
      <c r="I30" s="17">
        <f>(Assumptions!$B$16*(Assumptions!$B$26*(I7+H7)))</f>
        <v>21661535.77387774</v>
      </c>
      <c r="J30" s="17">
        <f>(Assumptions!$B$16*(Assumptions!$B$26*(J7+I7)))</f>
        <v>48850424.091614969</v>
      </c>
      <c r="K30" s="17">
        <f>(Assumptions!$B$16*(Assumptions!$B$26*(K7+J7)))</f>
        <v>54377776.635474443</v>
      </c>
      <c r="L30" s="17">
        <f>(Assumptions!$B$16*(Assumptions!$B$26*(L7+K7)))</f>
        <v>48850424.091614939</v>
      </c>
      <c r="M30" s="44">
        <f>SUM(B30:L30)</f>
        <v>397826211.86815208</v>
      </c>
      <c r="N30" s="10"/>
    </row>
    <row r="31" spans="1:14" hidden="1" x14ac:dyDescent="0.3">
      <c r="A31" t="s">
        <v>131</v>
      </c>
      <c r="B31" s="42">
        <f>Assumptions!$B$29*(B4)</f>
        <v>0</v>
      </c>
      <c r="C31" s="17">
        <f>Assumptions!$B$29*(C4)</f>
        <v>1680661.5598525433</v>
      </c>
      <c r="D31" s="17">
        <f>Assumptions!$B$29*(D4)</f>
        <v>3790175.8587348093</v>
      </c>
      <c r="E31" s="17">
        <f>Assumptions!$B$29*(E4)</f>
        <v>5899690.1576170754</v>
      </c>
      <c r="F31" s="17">
        <f>Assumptions!$B$29*(F4)</f>
        <v>7580351.7174696168</v>
      </c>
      <c r="G31" s="17">
        <f>Assumptions!$B$29*(G4)</f>
        <v>8693123.5257142857</v>
      </c>
      <c r="H31" s="17">
        <f>Assumptions!$B$29*(H4)</f>
        <v>8693123.5257142857</v>
      </c>
      <c r="I31" s="17">
        <f>Assumptions!$B$29*(I4)</f>
        <v>8693123.5257142857</v>
      </c>
      <c r="J31" s="17">
        <f>Assumptions!$B$29*(J4)</f>
        <v>8693123.5257142857</v>
      </c>
      <c r="K31" s="17">
        <f>Assumptions!$B$29*(K4)</f>
        <v>8693123.5257142857</v>
      </c>
      <c r="L31" s="17">
        <f>Assumptions!$B$29*(L4)</f>
        <v>8693123.5257142857</v>
      </c>
      <c r="M31" s="44">
        <f>SUM(B31:L31)</f>
        <v>71109620.447959751</v>
      </c>
      <c r="N31" s="10"/>
    </row>
    <row r="32" spans="1:14" hidden="1" x14ac:dyDescent="0.3">
      <c r="A32" t="s">
        <v>115</v>
      </c>
      <c r="B32" s="42">
        <f t="shared" ref="B32:L32" si="11">SUM(B30:B31)</f>
        <v>0</v>
      </c>
      <c r="C32" s="17">
        <f>SUM(C30:C31)</f>
        <v>23342197.333730284</v>
      </c>
      <c r="D32" s="17">
        <f t="shared" si="11"/>
        <v>52640599.950349778</v>
      </c>
      <c r="E32" s="17">
        <f t="shared" si="11"/>
        <v>60277466.793091521</v>
      </c>
      <c r="F32" s="17">
        <f t="shared" si="11"/>
        <v>56430775.809084557</v>
      </c>
      <c r="G32" s="17">
        <f t="shared" si="11"/>
        <v>44696836.75414709</v>
      </c>
      <c r="H32" s="17">
        <f t="shared" si="11"/>
        <v>23035300.980269376</v>
      </c>
      <c r="I32" s="17">
        <f t="shared" si="11"/>
        <v>30354659.299592026</v>
      </c>
      <c r="J32" s="17">
        <f t="shared" si="11"/>
        <v>57543547.617329255</v>
      </c>
      <c r="K32" s="17">
        <f t="shared" si="11"/>
        <v>63070900.161188729</v>
      </c>
      <c r="L32" s="17">
        <f t="shared" si="11"/>
        <v>57543547.617329225</v>
      </c>
      <c r="M32" s="53">
        <f>SUM(B32:L32)</f>
        <v>468935832.3161118</v>
      </c>
      <c r="N32" s="10"/>
    </row>
    <row r="33" spans="1:14" hidden="1" x14ac:dyDescent="0.3">
      <c r="A33" t="s">
        <v>124</v>
      </c>
      <c r="B33" s="42">
        <f>(((1-Assumptions!$B$45)*Assumptions!$B$17)*Assumptions!$B$46/12)/((1-(1+Assumptions!$B$46/12)^-24))</f>
        <v>9.6737809861805726</v>
      </c>
      <c r="C33" s="17">
        <f>(((1-Assumptions!$B$45)*Assumptions!$B$17)*Assumptions!$B$46/12)/((1-(1+Assumptions!$B$46/12)^-24))</f>
        <v>9.6737809861805726</v>
      </c>
      <c r="D33" s="17">
        <f>(((1-Assumptions!$B$45)*Assumptions!$B$17)*Assumptions!$B$46/12)/((1-(1+Assumptions!$B$46/12)^-24))</f>
        <v>9.6737809861805726</v>
      </c>
      <c r="E33" s="17">
        <f>(((1-Assumptions!$B$45)*Assumptions!$B$17)*Assumptions!$B$46/12)/((1-(1+Assumptions!$B$46/12)^-24))</f>
        <v>9.6737809861805726</v>
      </c>
      <c r="F33" s="17">
        <f>(((1-Assumptions!$B$45)*Assumptions!$B$17)*Assumptions!$B$46/12)/((1-(1+Assumptions!$B$46/12)^-24))</f>
        <v>9.6737809861805726</v>
      </c>
      <c r="G33" s="17">
        <f>(((1-Assumptions!$B$45)*Assumptions!$B$17)*Assumptions!$B$46/12)/((1-(1+Assumptions!$B$46/12)^-24))</f>
        <v>9.6737809861805726</v>
      </c>
      <c r="H33" s="17">
        <f>(((1-Assumptions!$B$45)*Assumptions!$B$17)*Assumptions!$B$46/12)/((1-(1+Assumptions!$B$46/12)^-24))</f>
        <v>9.6737809861805726</v>
      </c>
      <c r="I33" s="17">
        <f>(((1-Assumptions!$B$45)*Assumptions!$B$17)*Assumptions!$B$46/12)/((1-(1+Assumptions!$B$46/12)^-24))</f>
        <v>9.6737809861805726</v>
      </c>
      <c r="J33" s="17">
        <f>(((1-Assumptions!$B$45)*Assumptions!$B$17)*Assumptions!$B$46/12)/((1-(1+Assumptions!$B$46/12)^-24))</f>
        <v>9.6737809861805726</v>
      </c>
      <c r="K33" s="17">
        <f>(((1-Assumptions!$B$45)*Assumptions!$B$17)*Assumptions!$B$46/12)/((1-(1+Assumptions!$B$46/12)^-24))</f>
        <v>9.6737809861805726</v>
      </c>
      <c r="L33" s="17">
        <f>(((1-Assumptions!$B$45)*Assumptions!$B$17)*Assumptions!$B$46/12)/((1-(1+Assumptions!$B$46/12)^-24))</f>
        <v>9.6737809861805726</v>
      </c>
      <c r="M33" s="44"/>
      <c r="N33" s="10"/>
    </row>
    <row r="34" spans="1:14" hidden="1" x14ac:dyDescent="0.3">
      <c r="A34" t="s">
        <v>126</v>
      </c>
      <c r="B34" s="42">
        <f>Assumptions!$B$108</f>
        <v>0.82724999999999993</v>
      </c>
      <c r="C34" s="17">
        <f>Assumptions!$B$108</f>
        <v>0.82724999999999993</v>
      </c>
      <c r="D34" s="17">
        <f>Assumptions!$B$108</f>
        <v>0.82724999999999993</v>
      </c>
      <c r="E34" s="17">
        <f>Assumptions!$B$108</f>
        <v>0.82724999999999993</v>
      </c>
      <c r="F34" s="17">
        <f>Assumptions!$B$108</f>
        <v>0.82724999999999993</v>
      </c>
      <c r="G34" s="17">
        <f>Assumptions!$B$108</f>
        <v>0.82724999999999993</v>
      </c>
      <c r="H34" s="17">
        <f>Assumptions!$B$108</f>
        <v>0.82724999999999993</v>
      </c>
      <c r="I34" s="17">
        <f>Assumptions!$B$108</f>
        <v>0.82724999999999993</v>
      </c>
      <c r="J34" s="17">
        <f>Assumptions!$B$108</f>
        <v>0.82724999999999993</v>
      </c>
      <c r="K34" s="17">
        <f>Assumptions!$B$108</f>
        <v>0.82724999999999993</v>
      </c>
      <c r="L34" s="17">
        <f>Assumptions!$B$108</f>
        <v>0.82724999999999993</v>
      </c>
      <c r="M34" s="44"/>
      <c r="N34" s="10"/>
    </row>
    <row r="35" spans="1:14" hidden="1" x14ac:dyDescent="0.3">
      <c r="A35" t="s">
        <v>127</v>
      </c>
      <c r="B35" s="42">
        <f>(B33-B34)*12*(B7)</f>
        <v>0</v>
      </c>
      <c r="C35" s="17">
        <f>(C33-C34)*12*(B7+C7)</f>
        <v>17841629.479821719</v>
      </c>
      <c r="D35" s="17">
        <f>(D33-D34)*12*(C7+D7)</f>
        <v>40235889.81284526</v>
      </c>
      <c r="E35" s="17">
        <f>(E33-E34)*12*(D7+E7)</f>
        <v>44788520.666047089</v>
      </c>
      <c r="F35" s="17">
        <f t="shared" ref="F35:L35" si="12">(F33-F34)*12*(E7+F7)</f>
        <v>40235889.812845238</v>
      </c>
      <c r="G35" s="17">
        <f t="shared" si="12"/>
        <v>29654633.818443283</v>
      </c>
      <c r="H35" s="17">
        <f t="shared" si="12"/>
        <v>11813004.33862159</v>
      </c>
      <c r="I35" s="17">
        <f t="shared" si="12"/>
        <v>17841629.479821719</v>
      </c>
      <c r="J35" s="17">
        <f t="shared" si="12"/>
        <v>40235889.81284526</v>
      </c>
      <c r="K35" s="17">
        <f t="shared" si="12"/>
        <v>44788520.666047089</v>
      </c>
      <c r="L35" s="17">
        <f t="shared" si="12"/>
        <v>40235889.812845238</v>
      </c>
      <c r="M35" s="53"/>
      <c r="N35" s="10"/>
    </row>
    <row r="36" spans="1:14" hidden="1" x14ac:dyDescent="0.3">
      <c r="A36" t="s">
        <v>123</v>
      </c>
      <c r="B36" s="42">
        <f>((Assumptions!$B$45*Assumptions!$B$17)-(5*Assumptions!$B$108))*B7</f>
        <v>0</v>
      </c>
      <c r="C36" s="17">
        <f>((Assumptions!$B$45*Assumptions!$B$17)-(5*Assumptions!$B$108))*C7</f>
        <v>3993882.1142945872</v>
      </c>
      <c r="D36" s="17">
        <f>((Assumptions!$B$45*Assumptions!$B$17)-(5*Assumptions!$B$108))*D7</f>
        <v>5012997.0420063445</v>
      </c>
      <c r="E36" s="17">
        <f>((Assumptions!$B$45*Assumptions!$B$17)-(5*Assumptions!$B$108))*E7</f>
        <v>5012997.0420063445</v>
      </c>
      <c r="F36" s="17">
        <f>((Assumptions!$B$45*Assumptions!$B$17)-(5*Assumptions!$B$108))*F7</f>
        <v>3993882.1142945816</v>
      </c>
      <c r="G36" s="17">
        <f>((Assumptions!$B$45*Assumptions!$B$17)-(5*Assumptions!$B$108))*G7</f>
        <v>2644363.1058174269</v>
      </c>
      <c r="H36" s="17">
        <f>((Assumptions!$B$45*Assumptions!$B$17)-(5*Assumptions!$B$108))*H7</f>
        <v>0</v>
      </c>
      <c r="I36" s="17">
        <f>((Assumptions!$B$45*Assumptions!$B$17)-(5*Assumptions!$B$108))*I7</f>
        <v>3993882.1142945872</v>
      </c>
      <c r="J36" s="17">
        <f>((Assumptions!$B$45*Assumptions!$B$17)-(5*Assumptions!$B$108))*J7</f>
        <v>5012997.0420063445</v>
      </c>
      <c r="K36" s="17">
        <f>((Assumptions!$B$45*Assumptions!$B$17)-(5*Assumptions!$B$108))*K7</f>
        <v>5012997.0420063445</v>
      </c>
      <c r="L36" s="17">
        <f>((Assumptions!$B$45*Assumptions!$B$17)-(5*Assumptions!$B$108))*L7</f>
        <v>3993882.1142945816</v>
      </c>
      <c r="M36" s="53"/>
      <c r="N36" s="10"/>
    </row>
    <row r="37" spans="1:14" hidden="1" x14ac:dyDescent="0.3">
      <c r="A37" t="s">
        <v>228</v>
      </c>
      <c r="B37" s="42">
        <f>B35+B36</f>
        <v>0</v>
      </c>
      <c r="C37" s="17">
        <f t="shared" ref="C37:L37" si="13">C35+C36</f>
        <v>21835511.594116308</v>
      </c>
      <c r="D37" s="17">
        <f t="shared" si="13"/>
        <v>45248886.854851604</v>
      </c>
      <c r="E37" s="17">
        <f t="shared" si="13"/>
        <v>49801517.708053432</v>
      </c>
      <c r="F37" s="17">
        <f t="shared" si="13"/>
        <v>44229771.927139819</v>
      </c>
      <c r="G37" s="17">
        <f t="shared" si="13"/>
        <v>32298996.924260709</v>
      </c>
      <c r="H37" s="17">
        <f t="shared" si="13"/>
        <v>11813004.33862159</v>
      </c>
      <c r="I37" s="17">
        <f t="shared" si="13"/>
        <v>21835511.594116308</v>
      </c>
      <c r="J37" s="17">
        <f>J35+J36</f>
        <v>45248886.854851604</v>
      </c>
      <c r="K37" s="17">
        <f t="shared" si="13"/>
        <v>49801517.708053432</v>
      </c>
      <c r="L37" s="17">
        <f t="shared" si="13"/>
        <v>44229771.927139819</v>
      </c>
      <c r="M37" s="53">
        <f>SUM(B37:L37)</f>
        <v>366343377.43120456</v>
      </c>
      <c r="N37" s="10"/>
    </row>
    <row r="38" spans="1:14" hidden="1" x14ac:dyDescent="0.3">
      <c r="A38" s="64" t="s">
        <v>163</v>
      </c>
      <c r="B38" s="17">
        <f>(Assumptions!$B$45*Assumptions!$B$17*B7)+(B33*12*Assumptions!$B$44)*(B7)</f>
        <v>0</v>
      </c>
      <c r="C38" s="17">
        <f>(Assumptions!$B$45*Assumptions!$B$17*C7)+(C33*12*Assumptions!$B$44)*(C7+B7)</f>
        <v>24199067.96227593</v>
      </c>
      <c r="D38" s="17">
        <f>(Assumptions!$B$45*Assumptions!$B$17*D7)+(D33*12*Assumptions!$B$44)*(D7+C7)</f>
        <v>49883942.281692825</v>
      </c>
      <c r="E38" s="17">
        <f>(Assumptions!$B$45*Assumptions!$B$17*E7)+(E33*12*Assumptions!$B$44)*(E7+D7)</f>
        <v>54862295.248929456</v>
      </c>
      <c r="F38" s="17">
        <f>(Assumptions!$B$45*Assumptions!$B$17*F7)+(F33*12*Assumptions!$B$44)*(F7+E7)</f>
        <v>48687443.139799871</v>
      </c>
      <c r="G38" s="17">
        <f>(Assumptions!$B$45*Assumptions!$B$17*G7)+(G33*12*Assumptions!$B$44)*(G7+F7)</f>
        <v>35532308.467956007</v>
      </c>
      <c r="H38" s="17">
        <f>(Assumptions!$B$45*Assumptions!$B$17*H7)+(H33*12*Assumptions!$B$44)*(H7+G7)</f>
        <v>12917652.912666073</v>
      </c>
      <c r="I38" s="17">
        <f>(Assumptions!$B$45*Assumptions!$B$17*I7)+(I33*12*Assumptions!$B$44)*(I7+H7)</f>
        <v>24199067.96227593</v>
      </c>
      <c r="J38" s="17">
        <f>(Assumptions!$B$45*Assumptions!$B$17*J7)+(J33*12*Assumptions!$B$44)*(J7+I7)</f>
        <v>49883942.281692825</v>
      </c>
      <c r="K38" s="17">
        <f>(Assumptions!$B$45*Assumptions!$B$17*K7)+(K33*12*Assumptions!$B$44)*(K7+J7)</f>
        <v>54862295.248929456</v>
      </c>
      <c r="L38" s="17">
        <f>(Assumptions!$B$45*Assumptions!$B$17*L7)+(L33*12*Assumptions!$B$44)*(L7+K7)</f>
        <v>48687443.139799871</v>
      </c>
      <c r="M38" s="53">
        <f>SUM(B38:L38)</f>
        <v>403715458.64601827</v>
      </c>
      <c r="N38" s="10"/>
    </row>
    <row r="39" spans="1:14" hidden="1" x14ac:dyDescent="0.3">
      <c r="A39" s="64" t="s">
        <v>164</v>
      </c>
      <c r="B39" s="17">
        <f>B38-B32</f>
        <v>0</v>
      </c>
      <c r="C39" s="17">
        <f t="shared" ref="C39:L39" si="14">C38-C32</f>
        <v>856870.62854564562</v>
      </c>
      <c r="D39" s="17">
        <f t="shared" si="14"/>
        <v>-2756657.6686569527</v>
      </c>
      <c r="E39" s="17">
        <f t="shared" si="14"/>
        <v>-5415171.5441620648</v>
      </c>
      <c r="F39" s="17">
        <f t="shared" si="14"/>
        <v>-7743332.6692846864</v>
      </c>
      <c r="G39" s="17">
        <f t="shared" si="14"/>
        <v>-9164528.2861910835</v>
      </c>
      <c r="H39" s="17">
        <f t="shared" si="14"/>
        <v>-10117648.067603303</v>
      </c>
      <c r="I39" s="17">
        <f t="shared" si="14"/>
        <v>-6155591.3373160958</v>
      </c>
      <c r="J39" s="17">
        <f t="shared" si="14"/>
        <v>-7659605.3356364295</v>
      </c>
      <c r="K39" s="17">
        <f t="shared" si="14"/>
        <v>-8208604.9122592732</v>
      </c>
      <c r="L39" s="17">
        <f t="shared" si="14"/>
        <v>-8856104.4775293544</v>
      </c>
      <c r="M39" s="53">
        <f>SUM(B39:L39)</f>
        <v>-65220373.670093596</v>
      </c>
      <c r="N39" s="10"/>
    </row>
    <row r="40" spans="1:14" x14ac:dyDescent="0.3">
      <c r="A40" s="48" t="s">
        <v>150</v>
      </c>
      <c r="B40" s="42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44"/>
      <c r="N40" s="10"/>
    </row>
    <row r="41" spans="1:14" x14ac:dyDescent="0.3">
      <c r="A41" t="s">
        <v>130</v>
      </c>
      <c r="B41" s="42">
        <f>((Assumptions!$B$16*(1-Assumptions!$B$96))*(Assumptions!$B$26*B7))</f>
        <v>0</v>
      </c>
      <c r="C41" s="17">
        <f>((Assumptions!$B$16*(1-Assumptions!$B$96))*Assumptions!$B$26)*(C7+B7)</f>
        <v>17329228.619102195</v>
      </c>
      <c r="D41" s="17">
        <f>((Assumptions!$B$16*(1-Assumptions!$B$96))*Assumptions!$B$26)*(D7+C7)</f>
        <v>39080339.273291975</v>
      </c>
      <c r="E41" s="17">
        <f>((Assumptions!$B$16*(1-Assumptions!$B$96))*Assumptions!$B$26)*(E7+D7)</f>
        <v>43502221.308379561</v>
      </c>
      <c r="F41" s="17">
        <f>((Assumptions!$B$16*(1-Assumptions!$B$96))*Assumptions!$B$26)*(F7+E7)</f>
        <v>39080339.273291953</v>
      </c>
      <c r="G41" s="17">
        <f>((Assumptions!$B$16*(1-Assumptions!$B$96))*Assumptions!$B$26)*(G7+F7)</f>
        <v>28802970.582746245</v>
      </c>
      <c r="H41" s="17">
        <f>((Assumptions!$B$16*(1-Assumptions!$B$96))*Assumptions!$B$26)*(H7+G7)</f>
        <v>11473741.963644074</v>
      </c>
      <c r="I41" s="17">
        <f>((Assumptions!$B$16*(1-Assumptions!$B$96))*Assumptions!$B$26)*(I7+H7)</f>
        <v>17329228.619102195</v>
      </c>
      <c r="J41" s="17">
        <f>((Assumptions!$B$16*(1-Assumptions!$B$96))*Assumptions!$B$26)*(J7+I7)</f>
        <v>39080339.273291975</v>
      </c>
      <c r="K41" s="17">
        <f>((Assumptions!$B$16*(1-Assumptions!$B$96))*Assumptions!$B$26)*(K7+J7)</f>
        <v>43502221.308379561</v>
      </c>
      <c r="L41" s="17">
        <f>((Assumptions!$B$16*(1-Assumptions!$B$96))*Assumptions!$B$26)*(L7+K7)</f>
        <v>39080339.273291953</v>
      </c>
      <c r="M41" s="90">
        <f t="shared" ref="M41:M42" si="15">SUM(B41:L41)</f>
        <v>318260969.49452168</v>
      </c>
      <c r="N41" s="10"/>
    </row>
    <row r="42" spans="1:14" x14ac:dyDescent="0.3">
      <c r="A42" t="s">
        <v>131</v>
      </c>
      <c r="B42" s="42">
        <f>Assumptions!$B$29*(B4)</f>
        <v>0</v>
      </c>
      <c r="C42" s="17">
        <f>Assumptions!$B$29*(C4)</f>
        <v>1680661.5598525433</v>
      </c>
      <c r="D42" s="17">
        <f>Assumptions!$B$29*(D4)</f>
        <v>3790175.8587348093</v>
      </c>
      <c r="E42" s="17">
        <f>Assumptions!$B$29*(E4)</f>
        <v>5899690.1576170754</v>
      </c>
      <c r="F42" s="17">
        <f>Assumptions!$B$29*(F4)</f>
        <v>7580351.7174696168</v>
      </c>
      <c r="G42" s="17">
        <f>Assumptions!$B$29*(G4)</f>
        <v>8693123.5257142857</v>
      </c>
      <c r="H42" s="17">
        <f>Assumptions!$B$29*(H4)</f>
        <v>8693123.5257142857</v>
      </c>
      <c r="I42" s="17">
        <f>Assumptions!$B$29*(I4)</f>
        <v>8693123.5257142857</v>
      </c>
      <c r="J42" s="17">
        <f>Assumptions!$B$29*(J4)</f>
        <v>8693123.5257142857</v>
      </c>
      <c r="K42" s="17">
        <f>Assumptions!$B$29*(K4)</f>
        <v>8693123.5257142857</v>
      </c>
      <c r="L42" s="17">
        <f>Assumptions!$B$29*(L4)</f>
        <v>8693123.5257142857</v>
      </c>
      <c r="M42" s="90">
        <f t="shared" si="15"/>
        <v>71109620.447959751</v>
      </c>
      <c r="N42" s="10"/>
    </row>
    <row r="43" spans="1:14" x14ac:dyDescent="0.3">
      <c r="A43" t="s">
        <v>115</v>
      </c>
      <c r="B43" s="42">
        <f>SUM(B41:B42)</f>
        <v>0</v>
      </c>
      <c r="C43" s="17">
        <f t="shared" ref="C43:L43" si="16">SUM(C41:C42)</f>
        <v>19009890.178954739</v>
      </c>
      <c r="D43" s="17">
        <f t="shared" si="16"/>
        <v>42870515.132026784</v>
      </c>
      <c r="E43" s="17">
        <f t="shared" si="16"/>
        <v>49401911.465996638</v>
      </c>
      <c r="F43" s="17">
        <f t="shared" si="16"/>
        <v>46660690.990761571</v>
      </c>
      <c r="G43" s="17">
        <f t="shared" si="16"/>
        <v>37496094.108460531</v>
      </c>
      <c r="H43" s="17">
        <f t="shared" si="16"/>
        <v>20166865.489358358</v>
      </c>
      <c r="I43" s="17">
        <f t="shared" si="16"/>
        <v>26022352.144816481</v>
      </c>
      <c r="J43" s="17">
        <f t="shared" si="16"/>
        <v>47773462.799006261</v>
      </c>
      <c r="K43" s="17">
        <f t="shared" si="16"/>
        <v>52195344.834093846</v>
      </c>
      <c r="L43" s="17">
        <f t="shared" si="16"/>
        <v>47773462.799006239</v>
      </c>
      <c r="M43" s="53">
        <f>SUM(B43:L43)</f>
        <v>389370589.94248146</v>
      </c>
      <c r="N43" s="10"/>
    </row>
    <row r="44" spans="1:14" x14ac:dyDescent="0.3">
      <c r="A44" t="s">
        <v>124</v>
      </c>
      <c r="B44" s="42">
        <f>((((1-Assumptions!$B$45)*(1-Assumptions!$B$96)*Assumptions!$B$17)*Assumptions!$B$46/12)/((1-(1+Assumptions!$B$46/12)^-24)))</f>
        <v>7.7390247889444579</v>
      </c>
      <c r="C44" s="17">
        <f>((((1-Assumptions!$B$45)*(1-Assumptions!$B$96)*Assumptions!$B$17)*Assumptions!$B$46/12)/((1-(1+Assumptions!$B$46/12)^-24)))</f>
        <v>7.7390247889444579</v>
      </c>
      <c r="D44" s="17">
        <f>((((1-Assumptions!$B$45)*(1-Assumptions!$B$96)*Assumptions!$B$17)*Assumptions!$B$46/12)/((1-(1+Assumptions!$B$46/12)^-24)))</f>
        <v>7.7390247889444579</v>
      </c>
      <c r="E44" s="17">
        <f>((((1-Assumptions!$B$45)*(1-Assumptions!$B$96)*Assumptions!$B$17)*Assumptions!$B$46/12)/((1-(1+Assumptions!$B$46/12)^-24)))</f>
        <v>7.7390247889444579</v>
      </c>
      <c r="F44" s="17">
        <f>((((1-Assumptions!$B$45)*(1-Assumptions!$B$96)*Assumptions!$B$17)*Assumptions!$B$46/12)/((1-(1+Assumptions!$B$46/12)^-24)))</f>
        <v>7.7390247889444579</v>
      </c>
      <c r="G44" s="17">
        <f>((((1-Assumptions!$B$45)*(1-Assumptions!$B$96)*Assumptions!$B$17)*Assumptions!$B$46/12)/((1-(1+Assumptions!$B$46/12)^-24)))</f>
        <v>7.7390247889444579</v>
      </c>
      <c r="H44" s="17">
        <f>((((1-Assumptions!$B$45)*(1-Assumptions!$B$96)*Assumptions!$B$17)*Assumptions!$B$46/12)/((1-(1+Assumptions!$B$46/12)^-24)))</f>
        <v>7.7390247889444579</v>
      </c>
      <c r="I44" s="17">
        <f>((((1-Assumptions!$B$45)*(1-Assumptions!$B$96)*Assumptions!$B$17)*Assumptions!$B$46/12)/((1-(1+Assumptions!$B$46/12)^-24)))</f>
        <v>7.7390247889444579</v>
      </c>
      <c r="J44" s="17">
        <f>((((1-Assumptions!$B$45)*(1-Assumptions!$B$96)*Assumptions!$B$17)*Assumptions!$B$46/12)/((1-(1+Assumptions!$B$46/12)^-24)))</f>
        <v>7.7390247889444579</v>
      </c>
      <c r="K44" s="17">
        <f>((((1-Assumptions!$B$45)*(1-Assumptions!$B$96)*Assumptions!$B$17)*Assumptions!$B$46/12)/((1-(1+Assumptions!$B$46/12)^-24)))</f>
        <v>7.7390247889444579</v>
      </c>
      <c r="L44" s="67">
        <f>((((1-Assumptions!$B$45)*(1-Assumptions!$B$96)*Assumptions!$B$17)*Assumptions!$B$46/12)/((1-(1+Assumptions!$B$46/12)^-24)))</f>
        <v>7.7390247889444579</v>
      </c>
      <c r="M44" s="65"/>
      <c r="N44" s="10"/>
    </row>
    <row r="45" spans="1:14" x14ac:dyDescent="0.3">
      <c r="A45" t="s">
        <v>126</v>
      </c>
      <c r="B45" s="42">
        <f>Assumptions!$B$108</f>
        <v>0.82724999999999993</v>
      </c>
      <c r="C45" s="17">
        <f>Assumptions!$B$108</f>
        <v>0.82724999999999993</v>
      </c>
      <c r="D45" s="17">
        <f>Assumptions!$B$108</f>
        <v>0.82724999999999993</v>
      </c>
      <c r="E45" s="17">
        <f>Assumptions!$B$108</f>
        <v>0.82724999999999993</v>
      </c>
      <c r="F45" s="17">
        <f>Assumptions!$B$108</f>
        <v>0.82724999999999993</v>
      </c>
      <c r="G45" s="17">
        <f>Assumptions!$B$108</f>
        <v>0.82724999999999993</v>
      </c>
      <c r="H45" s="17">
        <f>Assumptions!$B$108</f>
        <v>0.82724999999999993</v>
      </c>
      <c r="I45" s="17">
        <f>Assumptions!$B$108</f>
        <v>0.82724999999999993</v>
      </c>
      <c r="J45" s="17">
        <f>Assumptions!$B$108</f>
        <v>0.82724999999999993</v>
      </c>
      <c r="K45" s="17">
        <f>Assumptions!$B$108</f>
        <v>0.82724999999999993</v>
      </c>
      <c r="L45" s="67">
        <f>Assumptions!$B$108</f>
        <v>0.82724999999999993</v>
      </c>
      <c r="M45" s="65"/>
      <c r="N45" s="10"/>
    </row>
    <row r="46" spans="1:14" x14ac:dyDescent="0.3">
      <c r="A46" t="s">
        <v>127</v>
      </c>
      <c r="B46" s="42">
        <f>(B44-B45)*12*(B7)</f>
        <v>0</v>
      </c>
      <c r="C46" s="17">
        <f>(C44-C45)*12*(C7+B7)</f>
        <v>13939625.037764251</v>
      </c>
      <c r="D46" s="17">
        <f t="shared" ref="D46:L46" si="17">(D44-D45)*12*(D7+C7)</f>
        <v>31436210.335283</v>
      </c>
      <c r="E46" s="17">
        <f t="shared" si="17"/>
        <v>34993170.595037498</v>
      </c>
      <c r="F46" s="17">
        <f t="shared" si="17"/>
        <v>31436210.335282981</v>
      </c>
      <c r="G46" s="17">
        <f t="shared" si="17"/>
        <v>23169098.793852609</v>
      </c>
      <c r="H46" s="17">
        <f t="shared" si="17"/>
        <v>9229473.7560883742</v>
      </c>
      <c r="I46" s="17">
        <f t="shared" si="17"/>
        <v>13939625.037764251</v>
      </c>
      <c r="J46" s="17">
        <f t="shared" si="17"/>
        <v>31436210.335283</v>
      </c>
      <c r="K46" s="17">
        <f t="shared" si="17"/>
        <v>34993170.595037498</v>
      </c>
      <c r="L46" s="17">
        <f t="shared" si="17"/>
        <v>31436210.335282981</v>
      </c>
      <c r="M46" s="44">
        <f>SUM(B46:L46)</f>
        <v>256009005.15667644</v>
      </c>
      <c r="N46" s="10"/>
    </row>
    <row r="47" spans="1:14" x14ac:dyDescent="0.3">
      <c r="A47" t="s">
        <v>123</v>
      </c>
      <c r="B47" s="42">
        <f>((Assumptions!$B$45*Assumptions!$B$17*(1-Assumptions!$B$96))-(5*Assumptions!$B$108))*B7</f>
        <v>0</v>
      </c>
      <c r="C47" s="17">
        <f>((Assumptions!$B$45*Assumptions!$B$17*(1-Assumptions!$B$96))-(5*Assumptions!$B$108))*C7</f>
        <v>3056072.9638968683</v>
      </c>
      <c r="D47" s="17">
        <f>((Assumptions!$B$45*Assumptions!$B$17*(1-Assumptions!$B$96))-(5*Assumptions!$B$108))*D7</f>
        <v>3835888.0632300405</v>
      </c>
      <c r="E47" s="17">
        <f>((Assumptions!$B$45*Assumptions!$B$17*(1-Assumptions!$B$96))-(5*Assumptions!$B$108))*E7</f>
        <v>3835888.0632300405</v>
      </c>
      <c r="F47" s="17">
        <f>((Assumptions!$B$45*Assumptions!$B$17*(1-Assumptions!$B$96))-(5*Assumptions!$B$108))*F7</f>
        <v>3056072.9638968641</v>
      </c>
      <c r="G47" s="17">
        <f>((Assumptions!$B$45*Assumptions!$B$17*(1-Assumptions!$B$96))-(5*Assumptions!$B$108))*G7</f>
        <v>2023436.4368169014</v>
      </c>
      <c r="H47" s="17">
        <f>((Assumptions!$B$45*Assumptions!$B$17*(1-Assumptions!$B$96))-(5*Assumptions!$B$108))*H7</f>
        <v>0</v>
      </c>
      <c r="I47" s="17">
        <f>((Assumptions!$B$45*Assumptions!$B$17*(1-Assumptions!$B$96))-(5*Assumptions!$B$108))*I7</f>
        <v>3056072.9638968683</v>
      </c>
      <c r="J47" s="17">
        <f>((Assumptions!$B$45*Assumptions!$B$17*(1-Assumptions!$B$96))-(5*Assumptions!$B$108))*J7</f>
        <v>3835888.0632300405</v>
      </c>
      <c r="K47" s="17">
        <f>((Assumptions!$B$45*Assumptions!$B$17*(1-Assumptions!$B$96))-(5*Assumptions!$B$108))*K7</f>
        <v>3835888.0632300405</v>
      </c>
      <c r="L47" s="17">
        <f>((Assumptions!$B$45*Assumptions!$B$17*(1-Assumptions!$B$96))-(5*Assumptions!$B$108))*L7</f>
        <v>3056072.9638968641</v>
      </c>
      <c r="M47" s="44">
        <f>SUM(B47:L47)</f>
        <v>29591280.545324527</v>
      </c>
      <c r="N47" s="10"/>
    </row>
    <row r="48" spans="1:14" x14ac:dyDescent="0.3">
      <c r="A48" t="s">
        <v>227</v>
      </c>
      <c r="B48" s="42">
        <f>B46+B47+(B7*Assumptions!$B$17*(Assumptions!$B$96))</f>
        <v>0</v>
      </c>
      <c r="C48" s="17">
        <f>C46+C47+(C7*Assumptions!$B$17*(Assumptions!$B$96))</f>
        <v>23247759.004312579</v>
      </c>
      <c r="D48" s="17">
        <f>D46+D47+(D7*Assumptions!$B$17*(Assumptions!$B$96))</f>
        <v>43119491.590355068</v>
      </c>
      <c r="E48" s="17">
        <f>E46+E47+(E7*Assumptions!$B$17*(Assumptions!$B$96))</f>
        <v>46676451.850109562</v>
      </c>
      <c r="F48" s="17">
        <f>F46+F47+(F7*Assumptions!$B$17*(Assumptions!$B$96))</f>
        <v>40744344.301831298</v>
      </c>
      <c r="G48" s="17">
        <f>G46+G47+(G7*Assumptions!$B$17*(Assumptions!$B$96))</f>
        <v>29332046.35733968</v>
      </c>
      <c r="H48" s="17">
        <f>H46+H47+(H7*Assumptions!$B$17*(Assumptions!$B$96))</f>
        <v>9229473.7560883742</v>
      </c>
      <c r="I48" s="17">
        <f>I46+I47+(I7*Assumptions!$B$17*(Assumptions!$B$96))</f>
        <v>23247759.004312579</v>
      </c>
      <c r="J48" s="17">
        <f>J46+J47+(J7*Assumptions!$B$17*(Assumptions!$B$96))</f>
        <v>43119491.590355068</v>
      </c>
      <c r="K48" s="17">
        <f>K46+K47+(K7*Assumptions!$B$17*(Assumptions!$B$96))</f>
        <v>46676451.850109562</v>
      </c>
      <c r="L48" s="17">
        <f>L46+L47+(L7*Assumptions!$B$17*(Assumptions!$B$96))</f>
        <v>40744344.301831298</v>
      </c>
      <c r="M48" s="53">
        <f>SUM(B48:L48)</f>
        <v>346137613.60664505</v>
      </c>
      <c r="N48" s="10"/>
    </row>
    <row r="49" spans="1:14" x14ac:dyDescent="0.3">
      <c r="A49" s="64" t="s">
        <v>163</v>
      </c>
      <c r="B49" s="17">
        <f>(Assumptions!$B$45*Assumptions!$B$17*(1-Assumptions!$B$96)*B7)+(B44*12*Assumptions!$B$44)*(B7)</f>
        <v>0</v>
      </c>
      <c r="C49" s="17">
        <f>(Assumptions!$B$45*Assumptions!$B$17*(1-Assumptions!$B$96)*C7)+(C44*12*Assumptions!$B$44)*(B7+C7)</f>
        <v>19359254.369820748</v>
      </c>
      <c r="D49" s="17">
        <f>(Assumptions!$B$45*Assumptions!$B$17*(1-Assumptions!$B$96)*D7)+(D44*12*Assumptions!$B$44)*(C7+D7)</f>
        <v>39907153.825354263</v>
      </c>
      <c r="E49" s="17">
        <f>(Assumptions!$B$45*Assumptions!$B$17*(1-Assumptions!$B$96)*E7)+(E44*12*Assumptions!$B$44)*(D7+E7)</f>
        <v>43889836.199143566</v>
      </c>
      <c r="F49" s="17">
        <f>(Assumptions!$B$45*Assumptions!$B$17*(1-Assumptions!$B$96)*F7)+(F44*12*Assumptions!$B$44)*(E7+F7)</f>
        <v>38949954.511839896</v>
      </c>
      <c r="G49" s="17">
        <f>(Assumptions!$B$45*Assumptions!$B$17*(1-Assumptions!$B$96)*G7)+(G44*12*Assumptions!$B$44)*(F7+G7)</f>
        <v>28425846.77436481</v>
      </c>
      <c r="H49" s="17">
        <f>(Assumptions!$B$45*Assumptions!$B$17*(1-Assumptions!$B$96)*H7)+(H44*12*Assumptions!$B$44)*(G7+H7)</f>
        <v>10334122.330132857</v>
      </c>
      <c r="I49" s="17">
        <f>(Assumptions!$B$45*Assumptions!$B$17*(1-Assumptions!$B$96)*I7)+(I44*12*Assumptions!$B$44)*(H7+I7)</f>
        <v>19359254.369820748</v>
      </c>
      <c r="J49" s="17">
        <f>(Assumptions!$B$45*Assumptions!$B$17*(1-Assumptions!$B$96)*J7)+(J44*12*Assumptions!$B$44)*(I7+J7)</f>
        <v>39907153.825354263</v>
      </c>
      <c r="K49" s="17">
        <f>(Assumptions!$B$45*Assumptions!$B$17*(1-Assumptions!$B$96)*K7)+(K44*12*Assumptions!$B$44)*(J7+K7)</f>
        <v>43889836.199143566</v>
      </c>
      <c r="L49" s="17">
        <f>(Assumptions!$B$45*Assumptions!$B$17*(1-Assumptions!$B$96)*L7)+(L44*12*Assumptions!$B$44)*(K7+L7)</f>
        <v>38949954.511839896</v>
      </c>
      <c r="M49" s="53">
        <f>SUM(B49:L49)</f>
        <v>322972366.91681457</v>
      </c>
      <c r="N49" s="10"/>
    </row>
    <row r="50" spans="1:14" x14ac:dyDescent="0.3">
      <c r="A50" s="64" t="s">
        <v>164</v>
      </c>
      <c r="B50" s="17">
        <f>B49-B43</f>
        <v>0</v>
      </c>
      <c r="C50" s="17">
        <f>C49-C43</f>
        <v>349364.1908660084</v>
      </c>
      <c r="D50" s="17">
        <f t="shared" ref="D50:L50" si="18">D49-D43</f>
        <v>-2963361.3066725209</v>
      </c>
      <c r="E50" s="17">
        <f t="shared" si="18"/>
        <v>-5512075.2668530717</v>
      </c>
      <c r="F50" s="17">
        <f t="shared" si="18"/>
        <v>-7710736.4789216742</v>
      </c>
      <c r="G50" s="17">
        <f t="shared" si="18"/>
        <v>-9070247.3340957202</v>
      </c>
      <c r="H50" s="17">
        <f t="shared" si="18"/>
        <v>-9832743.1592255011</v>
      </c>
      <c r="I50" s="17">
        <f t="shared" si="18"/>
        <v>-6663097.7749957331</v>
      </c>
      <c r="J50" s="17">
        <f t="shared" si="18"/>
        <v>-7866308.9736519977</v>
      </c>
      <c r="K50" s="17">
        <f t="shared" si="18"/>
        <v>-8305508.6349502802</v>
      </c>
      <c r="L50" s="17">
        <f t="shared" si="18"/>
        <v>-8823508.2871663421</v>
      </c>
      <c r="M50" s="53">
        <f>SUM(B50:L50)</f>
        <v>-66398223.025666825</v>
      </c>
      <c r="N50" s="10"/>
    </row>
    <row r="51" spans="1:14" x14ac:dyDescent="0.3">
      <c r="A51" s="98" t="s">
        <v>108</v>
      </c>
      <c r="B51" s="98"/>
      <c r="C51" s="98"/>
      <c r="D51" s="98"/>
      <c r="E51" s="98"/>
      <c r="F51" s="98"/>
      <c r="G51" s="98"/>
      <c r="H51" s="47"/>
      <c r="I51" s="47"/>
      <c r="J51" s="47"/>
      <c r="K51" s="47"/>
      <c r="L51" s="47"/>
      <c r="M51" s="46"/>
      <c r="N51" s="10"/>
    </row>
    <row r="52" spans="1:14" x14ac:dyDescent="0.3">
      <c r="A52" t="s">
        <v>204</v>
      </c>
      <c r="B52" s="42">
        <f>B$5*Assumptions!$B$88</f>
        <v>0</v>
      </c>
      <c r="C52" s="17">
        <f>C$5*Assumptions!$B$88</f>
        <v>194116410.16296875</v>
      </c>
      <c r="D52" s="17">
        <f>D$5*Assumptions!$B$88</f>
        <v>243648901.52090174</v>
      </c>
      <c r="E52" s="17">
        <f>E$5*Assumptions!$B$88</f>
        <v>243648901.52090174</v>
      </c>
      <c r="F52" s="17">
        <f>F$5*Assumptions!$B$88</f>
        <v>194116410.16296849</v>
      </c>
      <c r="G52" s="17">
        <f>G$5*Assumptions!$B$88</f>
        <v>128525143.85225937</v>
      </c>
      <c r="H52" s="17">
        <f>H$5*Assumptions!$B$88</f>
        <v>0</v>
      </c>
      <c r="I52" s="17">
        <f>I$5*Assumptions!$B$88</f>
        <v>0</v>
      </c>
      <c r="J52" s="17">
        <f>J$5*Assumptions!$B$88</f>
        <v>0</v>
      </c>
      <c r="K52" s="17">
        <f>K$5*Assumptions!$B$88</f>
        <v>0</v>
      </c>
      <c r="L52" s="17">
        <f>L$5*Assumptions!$B$88</f>
        <v>0</v>
      </c>
      <c r="M52" s="53">
        <f>SUM(B52:L52)</f>
        <v>1004055767.2200001</v>
      </c>
    </row>
    <row r="53" spans="1:14" x14ac:dyDescent="0.3">
      <c r="B53" s="42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53"/>
    </row>
  </sheetData>
  <mergeCells count="6">
    <mergeCell ref="A51:G51"/>
    <mergeCell ref="A1:M1"/>
    <mergeCell ref="A8:G8"/>
    <mergeCell ref="A12:G12"/>
    <mergeCell ref="A16:G16"/>
    <mergeCell ref="A28:G2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034DF-F8F4-4D38-9164-026E18CB77E3}">
  <sheetPr codeName="Sheet4"/>
  <dimension ref="A1:N54"/>
  <sheetViews>
    <sheetView zoomScale="58" workbookViewId="0">
      <selection activeCell="M25" sqref="M25"/>
    </sheetView>
  </sheetViews>
  <sheetFormatPr defaultRowHeight="14.4" x14ac:dyDescent="0.3"/>
  <cols>
    <col min="1" max="1" width="52" customWidth="1"/>
    <col min="2" max="2" width="20.109375" style="41" customWidth="1"/>
    <col min="3" max="3" width="21.109375" customWidth="1"/>
    <col min="4" max="4" width="25.33203125" customWidth="1"/>
    <col min="5" max="5" width="22.6640625" customWidth="1"/>
    <col min="6" max="6" width="24.33203125" customWidth="1"/>
    <col min="7" max="7" width="21" customWidth="1"/>
    <col min="8" max="12" width="19.33203125" customWidth="1"/>
    <col min="13" max="13" width="22.5546875" style="41" bestFit="1" customWidth="1"/>
    <col min="14" max="14" width="11.33203125" bestFit="1" customWidth="1"/>
  </cols>
  <sheetData>
    <row r="1" spans="1:13" ht="16.8" customHeight="1" x14ac:dyDescent="0.3">
      <c r="A1" s="99" t="s">
        <v>100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 x14ac:dyDescent="0.3">
      <c r="A2" s="39" t="s">
        <v>51</v>
      </c>
      <c r="B2" s="54"/>
      <c r="C2" s="39"/>
      <c r="D2" s="39"/>
      <c r="E2" s="39"/>
      <c r="F2" s="39"/>
      <c r="G2" s="39"/>
      <c r="H2" s="39"/>
      <c r="I2" s="39"/>
      <c r="J2" s="39"/>
      <c r="K2" s="39"/>
      <c r="L2" s="39"/>
      <c r="M2" s="40" t="s">
        <v>111</v>
      </c>
    </row>
    <row r="3" spans="1:13" x14ac:dyDescent="0.3">
      <c r="A3" t="s">
        <v>50</v>
      </c>
      <c r="B3" s="60">
        <v>2025</v>
      </c>
      <c r="C3" s="61">
        <v>2026</v>
      </c>
      <c r="D3" s="61">
        <v>2027</v>
      </c>
      <c r="E3" s="61">
        <v>2028</v>
      </c>
      <c r="F3" s="61">
        <v>2029</v>
      </c>
      <c r="G3" s="61">
        <v>2030</v>
      </c>
      <c r="H3" s="61">
        <v>2031</v>
      </c>
      <c r="I3" s="61">
        <v>2032</v>
      </c>
      <c r="J3" s="61">
        <v>2033</v>
      </c>
      <c r="K3" s="61">
        <v>2034</v>
      </c>
      <c r="L3" s="61">
        <v>2035</v>
      </c>
    </row>
    <row r="4" spans="1:13" x14ac:dyDescent="0.3">
      <c r="A4" s="64" t="s">
        <v>119</v>
      </c>
      <c r="B4" s="62">
        <f>Assumptions!$B$122*(1/(1+EXP(-Assumptions!$B$114*(B$3-Assumptions!$B$115))) - 1/(1+EXP(-Assumptions!$B$114*($B$3-Assumptions!$B$115)))) / (1/(1+EXP(-Assumptions!$B$114*($G$3-Assumptions!$B$115))) - 1/(1+EXP(-Assumptions!$B$114*($B$3-Assumptions!$B$115))))</f>
        <v>0</v>
      </c>
      <c r="C4" s="62">
        <f>Assumptions!$B$122*(1/(1+EXP(-Assumptions!$B$114*(C$3-Assumptions!$B$115))) - 1/(1+EXP(-Assumptions!$B$114*($B$3-Assumptions!$B$115)))) / (1/(1+EXP(-Assumptions!$B$114*($G$3-Assumptions!$B$115))) - 1/(1+EXP(-Assumptions!$B$114*($B$3-Assumptions!$B$115))))</f>
        <v>275059.06603257282</v>
      </c>
      <c r="D4" s="62">
        <f>Assumptions!$B$122*(1/(1+EXP(-Assumptions!$B$114*(D$3-Assumptions!$B$115))) - 1/(1+EXP(-Assumptions!$B$114*($B$3-Assumptions!$B$115)))) / (1/(1+EXP(-Assumptions!$B$114*($G$3-Assumptions!$B$115))) - 1/(1+EXP(-Assumptions!$B$114*($B$3-Assumptions!$B$115))))</f>
        <v>620304.68043445318</v>
      </c>
      <c r="E4" s="62">
        <f>Assumptions!$B$122*(1/(1+EXP(-Assumptions!$B$114*(E$3-Assumptions!$B$115))) - 1/(1+EXP(-Assumptions!$B$114*($B$3-Assumptions!$B$115)))) / (1/(1+EXP(-Assumptions!$B$114*($G$3-Assumptions!$B$115))) - 1/(1+EXP(-Assumptions!$B$114*($B$3-Assumptions!$B$115))))</f>
        <v>965550.29483633372</v>
      </c>
      <c r="F4" s="62">
        <f>Assumptions!$B$122*(1/(1+EXP(-Assumptions!$B$114*(F$3-Assumptions!$B$115))) - 1/(1+EXP(-Assumptions!$B$114*($B$3-Assumptions!$B$115)))) / (1/(1+EXP(-Assumptions!$B$114*($G$3-Assumptions!$B$115))) - 1/(1+EXP(-Assumptions!$B$114*($B$3-Assumptions!$B$115))))</f>
        <v>1240609.3608689061</v>
      </c>
      <c r="G4" s="62">
        <f>Assumptions!$B$122*(1/(1+EXP(-Assumptions!$B$114*(G$3-Assumptions!$B$115))) - 1/(1+EXP(-Assumptions!$B$114*($B$3-Assumptions!$B$115)))) / (1/(1+EXP(-Assumptions!$B$114*($G$3-Assumptions!$B$115))) - 1/(1+EXP(-Assumptions!$B$114*($B$3-Assumptions!$B$115))))</f>
        <v>1422726.916</v>
      </c>
      <c r="H4" s="62">
        <f>$G$4</f>
        <v>1422726.916</v>
      </c>
      <c r="I4" s="62">
        <f t="shared" ref="I4:L4" si="0">$G$4</f>
        <v>1422726.916</v>
      </c>
      <c r="J4" s="62">
        <f t="shared" si="0"/>
        <v>1422726.916</v>
      </c>
      <c r="K4" s="62">
        <f t="shared" si="0"/>
        <v>1422726.916</v>
      </c>
      <c r="L4" s="63">
        <f t="shared" si="0"/>
        <v>1422726.916</v>
      </c>
      <c r="M4" s="17">
        <f>L4</f>
        <v>1422726.916</v>
      </c>
    </row>
    <row r="5" spans="1:13" x14ac:dyDescent="0.3">
      <c r="A5" t="s">
        <v>120</v>
      </c>
      <c r="B5" s="55">
        <f>B4</f>
        <v>0</v>
      </c>
      <c r="C5" s="50">
        <f>C4-B4</f>
        <v>275059.06603257282</v>
      </c>
      <c r="D5" s="50">
        <f t="shared" ref="D5:L5" si="1">D4-C4</f>
        <v>345245.61440188036</v>
      </c>
      <c r="E5" s="50">
        <f t="shared" si="1"/>
        <v>345245.61440188054</v>
      </c>
      <c r="F5" s="50">
        <f t="shared" si="1"/>
        <v>275059.06603257242</v>
      </c>
      <c r="G5" s="50">
        <f t="shared" si="1"/>
        <v>182117.55513109383</v>
      </c>
      <c r="H5" s="50">
        <f t="shared" si="1"/>
        <v>0</v>
      </c>
      <c r="I5" s="50">
        <f t="shared" si="1"/>
        <v>0</v>
      </c>
      <c r="J5" s="50">
        <f t="shared" si="1"/>
        <v>0</v>
      </c>
      <c r="K5" s="50">
        <f t="shared" si="1"/>
        <v>0</v>
      </c>
      <c r="L5" s="50">
        <f t="shared" si="1"/>
        <v>0</v>
      </c>
      <c r="M5" s="42">
        <f>SUM(B5:L5)</f>
        <v>1422726.916</v>
      </c>
    </row>
    <row r="6" spans="1:13" x14ac:dyDescent="0.3">
      <c r="A6" t="s">
        <v>144</v>
      </c>
      <c r="B6" s="44">
        <v>0</v>
      </c>
      <c r="C6" s="16">
        <v>0</v>
      </c>
      <c r="D6" s="16">
        <v>0</v>
      </c>
      <c r="E6" s="16">
        <v>0</v>
      </c>
      <c r="F6" s="16">
        <v>0</v>
      </c>
      <c r="G6" s="16">
        <v>0</v>
      </c>
      <c r="H6" s="16">
        <f>B5</f>
        <v>0</v>
      </c>
      <c r="I6" s="16">
        <f t="shared" ref="I6:L6" si="2">C5</f>
        <v>275059.06603257282</v>
      </c>
      <c r="J6" s="16">
        <f t="shared" si="2"/>
        <v>345245.61440188036</v>
      </c>
      <c r="K6" s="16">
        <f t="shared" si="2"/>
        <v>345245.61440188054</v>
      </c>
      <c r="L6" s="16">
        <f t="shared" si="2"/>
        <v>275059.06603257242</v>
      </c>
      <c r="M6" s="42"/>
    </row>
    <row r="7" spans="1:13" x14ac:dyDescent="0.3">
      <c r="A7" t="s">
        <v>156</v>
      </c>
      <c r="B7" s="44">
        <f>B5+B6</f>
        <v>0</v>
      </c>
      <c r="C7" s="65">
        <f t="shared" ref="C7:L7" si="3">C5+C6</f>
        <v>275059.06603257282</v>
      </c>
      <c r="D7" s="65">
        <f t="shared" si="3"/>
        <v>345245.61440188036</v>
      </c>
      <c r="E7" s="65">
        <f t="shared" si="3"/>
        <v>345245.61440188054</v>
      </c>
      <c r="F7" s="65">
        <f t="shared" si="3"/>
        <v>275059.06603257242</v>
      </c>
      <c r="G7" s="65">
        <f t="shared" si="3"/>
        <v>182117.55513109383</v>
      </c>
      <c r="H7" s="65">
        <f t="shared" si="3"/>
        <v>0</v>
      </c>
      <c r="I7" s="65">
        <f t="shared" si="3"/>
        <v>275059.06603257282</v>
      </c>
      <c r="J7" s="65">
        <f t="shared" si="3"/>
        <v>345245.61440188036</v>
      </c>
      <c r="K7" s="65">
        <f t="shared" si="3"/>
        <v>345245.61440188054</v>
      </c>
      <c r="L7" s="66">
        <f t="shared" si="3"/>
        <v>275059.06603257242</v>
      </c>
      <c r="M7" s="17"/>
    </row>
    <row r="8" spans="1:13" x14ac:dyDescent="0.3">
      <c r="A8" s="98" t="s">
        <v>67</v>
      </c>
      <c r="B8" s="98"/>
      <c r="C8" s="98"/>
      <c r="D8" s="98"/>
      <c r="E8" s="98"/>
      <c r="F8" s="98"/>
      <c r="G8" s="98"/>
      <c r="H8" s="47"/>
      <c r="I8" s="47"/>
      <c r="J8" s="47"/>
      <c r="K8" s="47"/>
      <c r="L8" s="47"/>
      <c r="M8" s="43"/>
    </row>
    <row r="9" spans="1:13" x14ac:dyDescent="0.3">
      <c r="A9" t="s">
        <v>109</v>
      </c>
      <c r="B9" s="42">
        <f>Assumptions!$C$31*B4</f>
        <v>0</v>
      </c>
      <c r="C9" s="17">
        <f>Assumptions!$C$31*C4</f>
        <v>18237767.892001506</v>
      </c>
      <c r="D9" s="17">
        <f>Assumptions!$C$31*D4</f>
        <v>41129248.881932974</v>
      </c>
      <c r="E9" s="17">
        <f>Assumptions!$C$31*E4</f>
        <v>64020729.871864453</v>
      </c>
      <c r="F9" s="17">
        <f>Assumptions!$C$31*F4</f>
        <v>82258497.763865933</v>
      </c>
      <c r="G9" s="17">
        <f>Assumptions!$C$31*G4</f>
        <v>94333786.709791288</v>
      </c>
      <c r="H9" s="17">
        <f>Assumptions!$C$31*H4</f>
        <v>94333786.709791288</v>
      </c>
      <c r="I9" s="17">
        <f>Assumptions!$C$31*I4</f>
        <v>94333786.709791288</v>
      </c>
      <c r="J9" s="17">
        <f>Assumptions!$C$31*J4</f>
        <v>94333786.709791288</v>
      </c>
      <c r="K9" s="17">
        <f>Assumptions!$C$31*K4</f>
        <v>94333786.709791288</v>
      </c>
      <c r="L9" s="17">
        <f>Assumptions!$C$31*L4</f>
        <v>94333786.709791288</v>
      </c>
      <c r="M9" s="42">
        <f>SUM(B9:L9)</f>
        <v>771648964.66841269</v>
      </c>
    </row>
    <row r="10" spans="1:13" x14ac:dyDescent="0.3">
      <c r="A10" t="s">
        <v>65</v>
      </c>
      <c r="B10" s="44">
        <f>B$4*Assumptions!$B$111*12</f>
        <v>0</v>
      </c>
      <c r="C10" s="65">
        <f>C$4*Assumptions!$B$111*12</f>
        <v>1823971.6786751966</v>
      </c>
      <c r="D10" s="65">
        <f>D$4*Assumptions!$B$111*12</f>
        <v>4113364.3968969458</v>
      </c>
      <c r="E10" s="65">
        <f>E$4*Assumptions!$B$111*12</f>
        <v>6402757.1151186954</v>
      </c>
      <c r="F10" s="65">
        <f>F$4*Assumptions!$B$111*12</f>
        <v>8226728.7937938906</v>
      </c>
      <c r="G10" s="65">
        <f>G$4*Assumptions!$B$111*12</f>
        <v>9434386.7253791988</v>
      </c>
      <c r="H10" s="65">
        <f>H$4*Assumptions!$B$111*12</f>
        <v>9434386.7253791988</v>
      </c>
      <c r="I10" s="65">
        <f>I$4*Assumptions!$B$111*12</f>
        <v>9434386.7253791988</v>
      </c>
      <c r="J10" s="65">
        <f>J$4*Assumptions!$B$111*12</f>
        <v>9434386.7253791988</v>
      </c>
      <c r="K10" s="65">
        <f>K$4*Assumptions!$B$111*12</f>
        <v>9434386.7253791988</v>
      </c>
      <c r="L10" s="66">
        <f>L$4*Assumptions!$B$111*12</f>
        <v>9434386.7253791988</v>
      </c>
      <c r="M10" s="17">
        <f t="shared" ref="M10:M11" si="4">SUM(B10:L10)</f>
        <v>77173142.336759925</v>
      </c>
    </row>
    <row r="11" spans="1:13" x14ac:dyDescent="0.3">
      <c r="A11" t="s">
        <v>66</v>
      </c>
      <c r="B11" s="42">
        <f t="shared" ref="B11:L11" si="5">B9-B10</f>
        <v>0</v>
      </c>
      <c r="C11" s="17">
        <f t="shared" si="5"/>
        <v>16413796.213326309</v>
      </c>
      <c r="D11" s="17">
        <f t="shared" si="5"/>
        <v>37015884.48503603</v>
      </c>
      <c r="E11" s="17">
        <f t="shared" si="5"/>
        <v>57617972.756745756</v>
      </c>
      <c r="F11" s="17">
        <f t="shared" si="5"/>
        <v>74031768.970072046</v>
      </c>
      <c r="G11" s="17">
        <f t="shared" si="5"/>
        <v>84899399.984412089</v>
      </c>
      <c r="H11" s="17">
        <f t="shared" si="5"/>
        <v>84899399.984412089</v>
      </c>
      <c r="I11" s="17">
        <f t="shared" si="5"/>
        <v>84899399.984412089</v>
      </c>
      <c r="J11" s="17">
        <f t="shared" si="5"/>
        <v>84899399.984412089</v>
      </c>
      <c r="K11" s="17">
        <f t="shared" si="5"/>
        <v>84899399.984412089</v>
      </c>
      <c r="L11" s="17">
        <f t="shared" si="5"/>
        <v>84899399.984412089</v>
      </c>
      <c r="M11" s="52">
        <f t="shared" si="4"/>
        <v>694475822.33165264</v>
      </c>
    </row>
    <row r="12" spans="1:13" x14ac:dyDescent="0.3">
      <c r="A12" s="98" t="s">
        <v>68</v>
      </c>
      <c r="B12" s="98"/>
      <c r="C12" s="98"/>
      <c r="D12" s="98"/>
      <c r="E12" s="98"/>
      <c r="F12" s="98"/>
      <c r="G12" s="98"/>
      <c r="H12" s="47"/>
      <c r="I12" s="47"/>
      <c r="J12" s="47"/>
      <c r="K12" s="47"/>
      <c r="L12" s="47"/>
      <c r="M12" s="43"/>
    </row>
    <row r="13" spans="1:13" x14ac:dyDescent="0.3">
      <c r="A13" t="s">
        <v>73</v>
      </c>
      <c r="B13" s="56">
        <f>Assumptions!$C$57</f>
        <v>1294412262.6582277</v>
      </c>
      <c r="C13" s="19">
        <f>B13*Assumptions!$C$58+B13</f>
        <v>1333924074.8163278</v>
      </c>
      <c r="D13" s="19">
        <f>C13*Assumptions!$C$58+C13</f>
        <v>1374641981.3116453</v>
      </c>
      <c r="E13" s="19">
        <f>D13*Assumptions!$C$58+D13</f>
        <v>1416602798.0599992</v>
      </c>
      <c r="F13" s="19">
        <f>E13*Assumptions!$C$58+E13</f>
        <v>1459844464.7795646</v>
      </c>
      <c r="G13" s="19">
        <f>F13*Assumptions!$C$58+F13</f>
        <v>1504406079.2948329</v>
      </c>
      <c r="H13" s="19">
        <f>G13*Assumptions!$C$58+G13</f>
        <v>1550327932.8876987</v>
      </c>
      <c r="I13" s="19">
        <f>H13*Assumptions!$C$58+H13</f>
        <v>1597651546.7276335</v>
      </c>
      <c r="J13" s="19">
        <f>I13*Assumptions!$C$58+I13</f>
        <v>1646419709.4138887</v>
      </c>
      <c r="K13" s="19">
        <f>J13*Assumptions!$C$58+J13</f>
        <v>1696676515.6636696</v>
      </c>
      <c r="L13" s="19">
        <f>K13*Assumptions!$C$58+K13</f>
        <v>1748467406.181263</v>
      </c>
      <c r="M13" s="56">
        <f>SUM(B13:L13)</f>
        <v>16623374771.794752</v>
      </c>
    </row>
    <row r="14" spans="1:13" x14ac:dyDescent="0.3">
      <c r="A14" t="s">
        <v>71</v>
      </c>
      <c r="B14" s="57">
        <f>B13*Assumptions!$C$59</f>
        <v>38832367.879746832</v>
      </c>
      <c r="C14" s="69">
        <f>C13*Assumptions!$C$59</f>
        <v>40017722.244489834</v>
      </c>
      <c r="D14" s="69">
        <f>D13*Assumptions!$C$59</f>
        <v>41239259.439349353</v>
      </c>
      <c r="E14" s="69">
        <f>E13*Assumptions!$C$59</f>
        <v>42498083.941799976</v>
      </c>
      <c r="F14" s="69">
        <f>F13*Assumptions!$C$59</f>
        <v>43795333.943386935</v>
      </c>
      <c r="G14" s="69">
        <f>G13*Assumptions!$C$59</f>
        <v>45132182.378844984</v>
      </c>
      <c r="H14" s="69">
        <f>H13*Assumptions!$C$59</f>
        <v>46509837.986630961</v>
      </c>
      <c r="I14" s="69">
        <f>I13*Assumptions!$C$59</f>
        <v>47929546.401829004</v>
      </c>
      <c r="J14" s="69">
        <f>J13*Assumptions!$C$59</f>
        <v>49392591.282416657</v>
      </c>
      <c r="K14" s="69">
        <f>K13*Assumptions!$C$59</f>
        <v>50900295.469910085</v>
      </c>
      <c r="L14" s="69">
        <f>L13*Assumptions!$C$59</f>
        <v>52454022.185437888</v>
      </c>
      <c r="M14" s="56">
        <f>SUM(B14:L14)</f>
        <v>498701243.15384245</v>
      </c>
    </row>
    <row r="15" spans="1:13" x14ac:dyDescent="0.3">
      <c r="A15" t="s">
        <v>72</v>
      </c>
      <c r="B15" s="58">
        <f t="shared" ref="B15:K15" si="6">B11/B14</f>
        <v>0</v>
      </c>
      <c r="C15" s="8">
        <f>C11/C14</f>
        <v>0.41016318002922758</v>
      </c>
      <c r="D15" s="8">
        <f t="shared" si="6"/>
        <v>0.89758848699684712</v>
      </c>
      <c r="E15" s="8">
        <f t="shared" si="6"/>
        <v>1.3557781295658429</v>
      </c>
      <c r="F15" s="8">
        <f t="shared" si="6"/>
        <v>1.6904031161349506</v>
      </c>
      <c r="G15" s="8">
        <f t="shared" si="6"/>
        <v>1.8811277343461099</v>
      </c>
      <c r="H15" s="8">
        <f t="shared" si="6"/>
        <v>1.8254073473404924</v>
      </c>
      <c r="I15" s="8">
        <f t="shared" si="6"/>
        <v>1.7713374391786922</v>
      </c>
      <c r="J15" s="8">
        <f t="shared" si="6"/>
        <v>1.7188691214634766</v>
      </c>
      <c r="K15" s="8">
        <f t="shared" si="6"/>
        <v>1.6679549539078946</v>
      </c>
      <c r="L15" s="8">
        <f>L11/L14</f>
        <v>1.618548901441186</v>
      </c>
      <c r="M15" s="97">
        <f>M11/M14</f>
        <v>1.3925688613481488</v>
      </c>
    </row>
    <row r="16" spans="1:13" x14ac:dyDescent="0.3">
      <c r="A16" s="98" t="s">
        <v>106</v>
      </c>
      <c r="B16" s="98"/>
      <c r="C16" s="98"/>
      <c r="D16" s="98"/>
      <c r="E16" s="98"/>
      <c r="F16" s="98"/>
      <c r="G16" s="98"/>
      <c r="H16" s="47"/>
      <c r="I16" s="47"/>
      <c r="J16" s="47"/>
      <c r="K16" s="47"/>
      <c r="L16" s="47"/>
      <c r="M16" s="43"/>
    </row>
    <row r="17" spans="1:14" x14ac:dyDescent="0.3">
      <c r="A17" s="64" t="s">
        <v>81</v>
      </c>
      <c r="B17" s="10">
        <v>14413</v>
      </c>
      <c r="C17" s="10">
        <v>129130</v>
      </c>
      <c r="D17" s="10">
        <v>167073</v>
      </c>
      <c r="E17" s="10">
        <v>146658</v>
      </c>
      <c r="F17" s="10">
        <v>146263</v>
      </c>
      <c r="G17" s="10">
        <v>136023</v>
      </c>
      <c r="H17" s="10"/>
      <c r="I17" s="10"/>
      <c r="J17" s="10"/>
      <c r="K17" s="10"/>
      <c r="L17" s="10"/>
      <c r="M17" s="44">
        <f>SUM(B17:L17)</f>
        <v>739560</v>
      </c>
      <c r="N17" s="10"/>
    </row>
    <row r="18" spans="1:14" x14ac:dyDescent="0.3">
      <c r="A18" s="64" t="s">
        <v>87</v>
      </c>
      <c r="B18" s="10"/>
      <c r="C18" s="10"/>
      <c r="D18" s="10"/>
      <c r="E18" s="10">
        <v>11371</v>
      </c>
      <c r="F18" s="10"/>
      <c r="G18" s="10">
        <v>77308</v>
      </c>
      <c r="H18" s="10"/>
      <c r="I18" s="10"/>
      <c r="J18" s="10"/>
      <c r="K18" s="10"/>
      <c r="L18" s="10"/>
      <c r="M18" s="44">
        <f t="shared" ref="M18:M28" si="7">SUM(B18:L18)</f>
        <v>88679</v>
      </c>
      <c r="N18" s="10"/>
    </row>
    <row r="19" spans="1:14" x14ac:dyDescent="0.3">
      <c r="A19" s="64" t="s">
        <v>88</v>
      </c>
      <c r="B19" s="10">
        <v>10392</v>
      </c>
      <c r="C19" s="10">
        <v>48368</v>
      </c>
      <c r="D19" s="10">
        <v>43339</v>
      </c>
      <c r="E19" s="10">
        <v>55601</v>
      </c>
      <c r="F19" s="10">
        <v>46385</v>
      </c>
      <c r="G19" s="10">
        <v>35540</v>
      </c>
      <c r="H19" s="10"/>
      <c r="I19" s="10"/>
      <c r="J19" s="10"/>
      <c r="K19" s="10"/>
      <c r="L19" s="10"/>
      <c r="M19" s="44">
        <f t="shared" si="7"/>
        <v>239625</v>
      </c>
      <c r="N19" s="10"/>
    </row>
    <row r="20" spans="1:14" x14ac:dyDescent="0.3">
      <c r="A20" s="64" t="s">
        <v>82</v>
      </c>
      <c r="B20" s="10">
        <v>240001</v>
      </c>
      <c r="C20" s="10">
        <v>240001</v>
      </c>
      <c r="D20" s="10">
        <v>240001</v>
      </c>
      <c r="E20" s="10">
        <v>240001</v>
      </c>
      <c r="F20" s="10">
        <v>240001</v>
      </c>
      <c r="G20" s="10">
        <v>240002</v>
      </c>
      <c r="H20" s="10"/>
      <c r="I20" s="10"/>
      <c r="J20" s="10"/>
      <c r="K20" s="10"/>
      <c r="L20" s="10"/>
      <c r="M20" s="44">
        <f t="shared" si="7"/>
        <v>1440007</v>
      </c>
      <c r="N20" s="10"/>
    </row>
    <row r="21" spans="1:14" x14ac:dyDescent="0.3">
      <c r="A21" s="64" t="s">
        <v>89</v>
      </c>
      <c r="B21" s="16">
        <f>B17*Assumptions!$C$88</f>
        <v>12121333</v>
      </c>
      <c r="C21" s="16">
        <f>C17*Assumptions!$C$88</f>
        <v>108598330</v>
      </c>
      <c r="D21" s="16">
        <f>D17*Assumptions!$C$88</f>
        <v>140508393</v>
      </c>
      <c r="E21" s="16">
        <f>E17*Assumptions!$C$88</f>
        <v>123339378</v>
      </c>
      <c r="F21" s="16">
        <f>F17*Assumptions!$C$88</f>
        <v>123007183</v>
      </c>
      <c r="G21" s="16">
        <f>G17*Assumptions!$C$88</f>
        <v>114395343</v>
      </c>
      <c r="H21" s="16"/>
      <c r="I21" s="16"/>
      <c r="J21" s="16"/>
      <c r="K21" s="16"/>
      <c r="L21" s="16"/>
      <c r="M21" s="44">
        <f t="shared" si="7"/>
        <v>621969960</v>
      </c>
      <c r="N21" s="10"/>
    </row>
    <row r="22" spans="1:14" x14ac:dyDescent="0.3">
      <c r="A22" s="64" t="s">
        <v>90</v>
      </c>
      <c r="B22" s="16">
        <f>B18*Assumptions!$C$89+ B19*Assumptions!$C$90</f>
        <v>19412256</v>
      </c>
      <c r="C22" s="16">
        <f>C18*Assumptions!$C$89+ C19*Assumptions!$C$90</f>
        <v>90351424</v>
      </c>
      <c r="D22" s="16">
        <f>D18*Assumptions!$C$89+ D19*Assumptions!$C$90</f>
        <v>80957252</v>
      </c>
      <c r="E22" s="16">
        <f>E18*Assumptions!$C$89+ E19*Assumptions!$C$90</f>
        <v>124694340</v>
      </c>
      <c r="F22" s="16">
        <f>F18*Assumptions!$C$89+ F19*Assumptions!$C$90</f>
        <v>86647180</v>
      </c>
      <c r="G22" s="16">
        <f>G18*Assumptions!$C$89+ G19*Assumptions!$C$90</f>
        <v>208016976</v>
      </c>
      <c r="H22" s="16"/>
      <c r="I22" s="16"/>
      <c r="J22" s="16"/>
      <c r="K22" s="16"/>
      <c r="L22" s="16"/>
      <c r="M22" s="44">
        <f t="shared" si="7"/>
        <v>610079428</v>
      </c>
      <c r="N22" s="10"/>
    </row>
    <row r="23" spans="1:14" x14ac:dyDescent="0.3">
      <c r="A23" s="64" t="s">
        <v>91</v>
      </c>
      <c r="B23" s="16">
        <f>B20*Assumptions!$C$91</f>
        <v>48000200</v>
      </c>
      <c r="C23" s="16">
        <f>C20*Assumptions!$C$91</f>
        <v>48000200</v>
      </c>
      <c r="D23" s="16">
        <f>D20*Assumptions!$C$91</f>
        <v>48000200</v>
      </c>
      <c r="E23" s="16">
        <f>E20*Assumptions!$C$91</f>
        <v>48000200</v>
      </c>
      <c r="F23" s="16">
        <f>F20*Assumptions!$C$91</f>
        <v>48000200</v>
      </c>
      <c r="G23" s="16">
        <f>G20*Assumptions!$C$91</f>
        <v>48000400</v>
      </c>
      <c r="H23" s="16"/>
      <c r="I23" s="16"/>
      <c r="J23" s="16"/>
      <c r="K23" s="16"/>
      <c r="L23" s="16"/>
      <c r="M23" s="44">
        <f t="shared" si="7"/>
        <v>288001400</v>
      </c>
      <c r="N23" s="10"/>
    </row>
    <row r="24" spans="1:14" x14ac:dyDescent="0.3">
      <c r="A24" s="64" t="s">
        <v>105</v>
      </c>
      <c r="B24" s="16">
        <f>SUM(B22:B23)</f>
        <v>67412456</v>
      </c>
      <c r="C24" s="16">
        <f t="shared" ref="C24:G24" si="8">SUM(C22:C23)</f>
        <v>138351624</v>
      </c>
      <c r="D24" s="16">
        <f t="shared" si="8"/>
        <v>128957452</v>
      </c>
      <c r="E24" s="16">
        <f t="shared" si="8"/>
        <v>172694540</v>
      </c>
      <c r="F24" s="16">
        <f t="shared" si="8"/>
        <v>134647380</v>
      </c>
      <c r="G24" s="16">
        <f t="shared" si="8"/>
        <v>256017376</v>
      </c>
      <c r="H24" s="16"/>
      <c r="I24" s="16"/>
      <c r="J24" s="16"/>
      <c r="K24" s="16"/>
      <c r="L24" s="16"/>
      <c r="M24" s="44">
        <f>SUM(B24:L24)</f>
        <v>898080828</v>
      </c>
      <c r="N24" s="10"/>
    </row>
    <row r="25" spans="1:14" x14ac:dyDescent="0.3">
      <c r="A25" s="64" t="s">
        <v>92</v>
      </c>
      <c r="B25" s="17">
        <f>SUM(B21:B23)</f>
        <v>79533789</v>
      </c>
      <c r="C25" s="17">
        <f t="shared" ref="C25:G25" si="9">SUM(C21:C23)</f>
        <v>246949954</v>
      </c>
      <c r="D25" s="17">
        <f t="shared" si="9"/>
        <v>269465845</v>
      </c>
      <c r="E25" s="17">
        <f t="shared" si="9"/>
        <v>296033918</v>
      </c>
      <c r="F25" s="17">
        <f t="shared" si="9"/>
        <v>257654563</v>
      </c>
      <c r="G25" s="17">
        <f t="shared" si="9"/>
        <v>370412719</v>
      </c>
      <c r="H25" s="17"/>
      <c r="I25" s="17"/>
      <c r="J25" s="17"/>
      <c r="K25" s="17"/>
      <c r="L25" s="17"/>
      <c r="M25" s="44">
        <f>SUM(B25:L25)</f>
        <v>1520050788</v>
      </c>
      <c r="N25" s="10"/>
    </row>
    <row r="26" spans="1:14" x14ac:dyDescent="0.3">
      <c r="A26" s="64" t="s">
        <v>104</v>
      </c>
      <c r="B26" s="17">
        <f>(B22+B23)*Assumptions!$C$94</f>
        <v>20223736.800000001</v>
      </c>
      <c r="C26" s="17">
        <f>(C22+C23)*Assumptions!$C$94</f>
        <v>41505487.199999996</v>
      </c>
      <c r="D26" s="17">
        <f>(D22+D23)*Assumptions!$C$94</f>
        <v>38687235.600000001</v>
      </c>
      <c r="E26" s="17">
        <f>(E22+E23)*Assumptions!$C$94</f>
        <v>51808362</v>
      </c>
      <c r="F26" s="17">
        <f>(F22+F23)*Assumptions!$C$94</f>
        <v>40394214</v>
      </c>
      <c r="G26" s="17">
        <f>(G22+G23)*Assumptions!$C$94</f>
        <v>76805212.799999997</v>
      </c>
      <c r="H26" s="17"/>
      <c r="I26" s="17"/>
      <c r="J26" s="17"/>
      <c r="K26" s="17"/>
      <c r="L26" s="17"/>
      <c r="M26" s="44">
        <f>SUM(B26:L26)</f>
        <v>269424248.39999998</v>
      </c>
      <c r="N26" s="10"/>
    </row>
    <row r="27" spans="1:14" x14ac:dyDescent="0.3">
      <c r="A27" s="64" t="s">
        <v>103</v>
      </c>
      <c r="B27" s="8">
        <f>(B26*(B23/(B22+B23)))/B26</f>
        <v>0.7120375498557715</v>
      </c>
      <c r="C27" s="8">
        <f t="shared" ref="C27:G27" si="10">(C26*(C23/(C22+C23)))/C26</f>
        <v>0.34694352413239471</v>
      </c>
      <c r="D27" s="8">
        <f t="shared" si="10"/>
        <v>0.37221734188730715</v>
      </c>
      <c r="E27" s="8">
        <f t="shared" si="10"/>
        <v>0.27794856745326169</v>
      </c>
      <c r="F27" s="8">
        <f t="shared" si="10"/>
        <v>0.35648818417409978</v>
      </c>
      <c r="G27" s="8">
        <f t="shared" si="10"/>
        <v>0.1874888366952093</v>
      </c>
      <c r="H27" s="8"/>
      <c r="I27" s="8"/>
      <c r="J27" s="8"/>
      <c r="K27" s="8"/>
      <c r="L27" s="8"/>
      <c r="M27" s="44"/>
      <c r="N27" s="10"/>
    </row>
    <row r="28" spans="1:14" x14ac:dyDescent="0.3">
      <c r="A28" s="64" t="s">
        <v>102</v>
      </c>
      <c r="B28" s="17">
        <f>B21*Assumptions!$C$92+(B22+B23)*Assumptions!$C$94</f>
        <v>32345069.800000001</v>
      </c>
      <c r="C28" s="17">
        <f>C21*Assumptions!$C$92+(C22+C23)*Assumptions!$C$94</f>
        <v>150103817.19999999</v>
      </c>
      <c r="D28" s="17">
        <f>D21*Assumptions!$C$92+(D22+D23)*Assumptions!$C$94</f>
        <v>179195628.59999999</v>
      </c>
      <c r="E28" s="17">
        <f>E21*Assumptions!$C$92+(E22+E23)*Assumptions!$C$94</f>
        <v>175147740</v>
      </c>
      <c r="F28" s="17">
        <f>F21*Assumptions!$C$92+(F22+F23)*Assumptions!$C$94</f>
        <v>163401397</v>
      </c>
      <c r="G28" s="17">
        <f>G21*Assumptions!$C$92+(G22+G23)*Assumptions!$C$94</f>
        <v>191200555.80000001</v>
      </c>
      <c r="H28" s="17"/>
      <c r="I28" s="17"/>
      <c r="J28" s="17"/>
      <c r="K28" s="17"/>
      <c r="L28" s="17"/>
      <c r="M28" s="45">
        <f t="shared" si="7"/>
        <v>891394208.4000001</v>
      </c>
      <c r="N28" s="10"/>
    </row>
    <row r="29" spans="1:14" x14ac:dyDescent="0.3">
      <c r="A29" s="98" t="s">
        <v>151</v>
      </c>
      <c r="B29" s="98"/>
      <c r="C29" s="98"/>
      <c r="D29" s="98"/>
      <c r="E29" s="98"/>
      <c r="F29" s="98"/>
      <c r="G29" s="98"/>
      <c r="H29" s="47"/>
      <c r="I29" s="47"/>
      <c r="J29" s="47"/>
      <c r="K29" s="47"/>
      <c r="L29" s="47"/>
      <c r="M29" s="46"/>
    </row>
    <row r="30" spans="1:14" hidden="1" x14ac:dyDescent="0.3">
      <c r="A30" s="48" t="s">
        <v>318</v>
      </c>
      <c r="B30" s="42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44"/>
      <c r="N30" s="10"/>
    </row>
    <row r="31" spans="1:14" hidden="1" x14ac:dyDescent="0.3">
      <c r="A31" t="s">
        <v>130</v>
      </c>
      <c r="B31" s="42">
        <f>(Assumptions!$C$16*(Assumptions!$C$26*B7))</f>
        <v>0</v>
      </c>
      <c r="C31" s="17">
        <f>(Assumptions!$C$16*(Assumptions!$C$26*(C7+B7)))</f>
        <v>34876477.39605432</v>
      </c>
      <c r="D31" s="17">
        <f>(Assumptions!$C$16*(Assumptions!$C$26*(D7+C7)))</f>
        <v>78652350.849169895</v>
      </c>
      <c r="E31" s="17">
        <f>(Assumptions!$C$16*(Assumptions!$C$26*(E7+D7)))</f>
        <v>87551746.90623115</v>
      </c>
      <c r="F31" s="17">
        <f>(Assumptions!$C$16*(Assumptions!$C$26*(F7+E7)))</f>
        <v>78652350.84916985</v>
      </c>
      <c r="G31" s="17">
        <f>(Assumptions!$C$16*(Assumptions!$C$26*(G7+F7)))</f>
        <v>57968313.220880724</v>
      </c>
      <c r="H31" s="17">
        <f>(Assumptions!$C$16*(Assumptions!$C$26*(H7+G7)))</f>
        <v>23091835.824826457</v>
      </c>
      <c r="I31" s="17">
        <f>(Assumptions!$C$16*(Assumptions!$C$26*(I7+H7)))</f>
        <v>34876477.39605432</v>
      </c>
      <c r="J31" s="17">
        <f>(Assumptions!$C$16*(Assumptions!$C$26*(J7+I7)))</f>
        <v>78652350.849169895</v>
      </c>
      <c r="K31" s="17">
        <f>(Assumptions!$C$16*(Assumptions!$C$26*(K7+J7)))</f>
        <v>87551746.90623115</v>
      </c>
      <c r="L31" s="17">
        <f>(Assumptions!$C$16*(Assumptions!$C$26*(L7+K7)))</f>
        <v>78652350.84916985</v>
      </c>
      <c r="M31" s="44">
        <f>SUM(B31:L31)</f>
        <v>640526001.04695761</v>
      </c>
      <c r="N31" s="10"/>
    </row>
    <row r="32" spans="1:14" hidden="1" x14ac:dyDescent="0.3">
      <c r="A32" t="s">
        <v>131</v>
      </c>
      <c r="B32" s="42">
        <f>Assumptions!$C$29*(B4)</f>
        <v>0</v>
      </c>
      <c r="C32" s="17">
        <f>Assumptions!$C$29*(C4)</f>
        <v>2750590.6603257284</v>
      </c>
      <c r="D32" s="17">
        <f>Assumptions!$C$29*(D4)</f>
        <v>6203046.8043445321</v>
      </c>
      <c r="E32" s="17">
        <f>Assumptions!$C$29*(E4)</f>
        <v>9655502.9483633377</v>
      </c>
      <c r="F32" s="17">
        <f>Assumptions!$C$29*(F4)</f>
        <v>12406093.608689062</v>
      </c>
      <c r="G32" s="17">
        <f>Assumptions!$C$29*(G4)</f>
        <v>14227269.16</v>
      </c>
      <c r="H32" s="17">
        <f>Assumptions!$C$29*(H4)</f>
        <v>14227269.16</v>
      </c>
      <c r="I32" s="17">
        <f>Assumptions!$C$29*(I4)</f>
        <v>14227269.16</v>
      </c>
      <c r="J32" s="17">
        <f>Assumptions!$C$29*(J4)</f>
        <v>14227269.16</v>
      </c>
      <c r="K32" s="17">
        <f>Assumptions!$C$29*(K4)</f>
        <v>14227269.16</v>
      </c>
      <c r="L32" s="17">
        <f>Assumptions!$C$29*(L4)</f>
        <v>14227269.16</v>
      </c>
      <c r="M32" s="44">
        <f>SUM(B32:L32)</f>
        <v>116378848.98172264</v>
      </c>
      <c r="N32" s="10"/>
    </row>
    <row r="33" spans="1:14" hidden="1" x14ac:dyDescent="0.3">
      <c r="A33" t="s">
        <v>115</v>
      </c>
      <c r="B33" s="42">
        <f t="shared" ref="B33:L33" si="11">SUM(B31:B32)</f>
        <v>0</v>
      </c>
      <c r="C33" s="17">
        <f t="shared" si="11"/>
        <v>37627068.056380048</v>
      </c>
      <c r="D33" s="17">
        <f t="shared" si="11"/>
        <v>84855397.65351443</v>
      </c>
      <c r="E33" s="17">
        <f t="shared" si="11"/>
        <v>97207249.854594484</v>
      </c>
      <c r="F33" s="17">
        <f t="shared" si="11"/>
        <v>91058444.45785892</v>
      </c>
      <c r="G33" s="17">
        <f t="shared" si="11"/>
        <v>72195582.380880728</v>
      </c>
      <c r="H33" s="17">
        <f t="shared" si="11"/>
        <v>37319104.98482646</v>
      </c>
      <c r="I33" s="17">
        <f t="shared" si="11"/>
        <v>49103746.556054324</v>
      </c>
      <c r="J33" s="17">
        <f t="shared" si="11"/>
        <v>92879620.009169891</v>
      </c>
      <c r="K33" s="17">
        <f t="shared" si="11"/>
        <v>101779016.06623115</v>
      </c>
      <c r="L33" s="17">
        <f t="shared" si="11"/>
        <v>92879620.009169847</v>
      </c>
      <c r="M33" s="44">
        <f>SUM(B33:L33)</f>
        <v>756904850.02868021</v>
      </c>
      <c r="N33" s="10"/>
    </row>
    <row r="34" spans="1:14" hidden="1" x14ac:dyDescent="0.3">
      <c r="A34" t="s">
        <v>124</v>
      </c>
      <c r="B34" s="42">
        <f>(((1-Assumptions!$C$45)*Assumptions!$C$17)*Assumptions!$C$46/12)/((1-(1+Assumptions!$C$46/12)^-24))</f>
        <v>9.6737809861805726</v>
      </c>
      <c r="C34" s="17">
        <f>(((1-Assumptions!$C$45)*Assumptions!$C$17)*Assumptions!$C$46/12)/((1-(1+Assumptions!$C$46/12)^-24))</f>
        <v>9.6737809861805726</v>
      </c>
      <c r="D34" s="17">
        <f>(((1-Assumptions!$C$45)*Assumptions!$C$17)*Assumptions!$C$46/12)/((1-(1+Assumptions!$C$46/12)^-24))</f>
        <v>9.6737809861805726</v>
      </c>
      <c r="E34" s="17">
        <f>(((1-Assumptions!$C$45)*Assumptions!$C$17)*Assumptions!$C$46/12)/((1-(1+Assumptions!$C$46/12)^-24))</f>
        <v>9.6737809861805726</v>
      </c>
      <c r="F34" s="17">
        <f>(((1-Assumptions!$C$45)*Assumptions!$C$17)*Assumptions!$C$46/12)/((1-(1+Assumptions!$C$46/12)^-24))</f>
        <v>9.6737809861805726</v>
      </c>
      <c r="G34" s="17">
        <f>(((1-Assumptions!$C$45)*Assumptions!$C$17)*Assumptions!$C$46/12)/((1-(1+Assumptions!$C$46/12)^-24))</f>
        <v>9.6737809861805726</v>
      </c>
      <c r="H34" s="17">
        <f>(((1-Assumptions!$C$45)*Assumptions!$C$17)*Assumptions!$C$46/12)/((1-(1+Assumptions!$C$46/12)^-24))</f>
        <v>9.6737809861805726</v>
      </c>
      <c r="I34" s="17">
        <f>(((1-Assumptions!$C$45)*Assumptions!$C$17)*Assumptions!$C$46/12)/((1-(1+Assumptions!$C$46/12)^-24))</f>
        <v>9.6737809861805726</v>
      </c>
      <c r="J34" s="17">
        <f>(((1-Assumptions!$C$45)*Assumptions!$C$17)*Assumptions!$C$46/12)/((1-(1+Assumptions!$C$46/12)^-24))</f>
        <v>9.6737809861805726</v>
      </c>
      <c r="K34" s="17">
        <f>(((1-Assumptions!$C$45)*Assumptions!$C$17)*Assumptions!$C$46/12)/((1-(1+Assumptions!$C$46/12)^-24))</f>
        <v>9.6737809861805726</v>
      </c>
      <c r="L34" s="17">
        <f>(((1-Assumptions!$C$45)*Assumptions!$C$17)*Assumptions!$C$46/12)/((1-(1+Assumptions!$C$46/12)^-24))</f>
        <v>9.6737809861805726</v>
      </c>
      <c r="M34" s="44"/>
      <c r="N34" s="10"/>
    </row>
    <row r="35" spans="1:14" hidden="1" x14ac:dyDescent="0.3">
      <c r="A35" t="s">
        <v>126</v>
      </c>
      <c r="B35" s="42">
        <f>Assumptions!$B$111</f>
        <v>0.55259999999999998</v>
      </c>
      <c r="C35" s="17">
        <f>Assumptions!$B$111</f>
        <v>0.55259999999999998</v>
      </c>
      <c r="D35" s="17">
        <f>Assumptions!$B$111</f>
        <v>0.55259999999999998</v>
      </c>
      <c r="E35" s="17">
        <f>Assumptions!$B$111</f>
        <v>0.55259999999999998</v>
      </c>
      <c r="F35" s="17">
        <f>Assumptions!$B$111</f>
        <v>0.55259999999999998</v>
      </c>
      <c r="G35" s="17">
        <f>Assumptions!$B$111</f>
        <v>0.55259999999999998</v>
      </c>
      <c r="H35" s="17">
        <f>Assumptions!$B$111</f>
        <v>0.55259999999999998</v>
      </c>
      <c r="I35" s="17">
        <f>Assumptions!$B$111</f>
        <v>0.55259999999999998</v>
      </c>
      <c r="J35" s="17">
        <f>Assumptions!$B$111</f>
        <v>0.55259999999999998</v>
      </c>
      <c r="K35" s="17">
        <f>Assumptions!$B$111</f>
        <v>0.55259999999999998</v>
      </c>
      <c r="L35" s="17">
        <f>Assumptions!$B$111</f>
        <v>0.55259999999999998</v>
      </c>
      <c r="M35" s="44"/>
      <c r="N35" s="10"/>
    </row>
    <row r="36" spans="1:14" hidden="1" x14ac:dyDescent="0.3">
      <c r="A36" t="s">
        <v>127</v>
      </c>
      <c r="B36" s="42">
        <f>(B34-B35)*12*(B7)</f>
        <v>0</v>
      </c>
      <c r="C36" s="17">
        <f>(C34-C35)*12*(B7+C7)</f>
        <v>30106362.278074678</v>
      </c>
      <c r="D36" s="17">
        <f t="shared" ref="D36:L36" si="12">(D34-D35)*12*(C7+D7)</f>
        <v>67894935.081810609</v>
      </c>
      <c r="E36" s="17">
        <f t="shared" si="12"/>
        <v>75577145.607471868</v>
      </c>
      <c r="F36" s="17">
        <f t="shared" si="12"/>
        <v>67894935.081810579</v>
      </c>
      <c r="G36" s="17">
        <f t="shared" si="12"/>
        <v>50039888.451411739</v>
      </c>
      <c r="H36" s="17">
        <f t="shared" si="12"/>
        <v>19933526.173337102</v>
      </c>
      <c r="I36" s="17">
        <f t="shared" si="12"/>
        <v>30106362.278074678</v>
      </c>
      <c r="J36" s="17">
        <f t="shared" si="12"/>
        <v>67894935.081810609</v>
      </c>
      <c r="K36" s="17">
        <f t="shared" si="12"/>
        <v>75577145.607471868</v>
      </c>
      <c r="L36" s="17">
        <f t="shared" si="12"/>
        <v>67894935.081810579</v>
      </c>
      <c r="M36" s="44"/>
      <c r="N36" s="10"/>
    </row>
    <row r="37" spans="1:14" hidden="1" x14ac:dyDescent="0.3">
      <c r="A37" t="s">
        <v>123</v>
      </c>
      <c r="B37" s="42">
        <f>((Assumptions!$C$45*Assumptions!$C$17)-(5*Assumptions!$B$111))*B7</f>
        <v>0</v>
      </c>
      <c r="C37" s="17">
        <f>((Assumptions!$C$45*Assumptions!$C$17)-(5*Assumptions!$B$111))*C7</f>
        <v>6914159.7428607829</v>
      </c>
      <c r="D37" s="17">
        <f>((Assumptions!$C$45*Assumptions!$C$17)-(5*Assumptions!$B$111))*D7</f>
        <v>8678439.0092200674</v>
      </c>
      <c r="E37" s="17">
        <f>((Assumptions!$C$45*Assumptions!$C$17)-(5*Assumptions!$B$111))*E7</f>
        <v>8678439.0092200711</v>
      </c>
      <c r="F37" s="17">
        <f>((Assumptions!$C$45*Assumptions!$C$17)-(5*Assumptions!$B$111))*F7</f>
        <v>6914159.7428607726</v>
      </c>
      <c r="G37" s="17">
        <f>((Assumptions!$C$45*Assumptions!$C$17)-(5*Assumptions!$B$111))*G7</f>
        <v>4577888.9833303057</v>
      </c>
      <c r="H37" s="17">
        <f>((Assumptions!$C$45*Assumptions!$C$17)-(5*Assumptions!$B$111))*H7</f>
        <v>0</v>
      </c>
      <c r="I37" s="17">
        <f>((Assumptions!$C$45*Assumptions!$C$17)-(5*Assumptions!$B$111))*I7</f>
        <v>6914159.7428607829</v>
      </c>
      <c r="J37" s="17">
        <f>((Assumptions!$C$45*Assumptions!$C$17)-(5*Assumptions!$B$111))*J7</f>
        <v>8678439.0092200674</v>
      </c>
      <c r="K37" s="17">
        <f>((Assumptions!$C$45*Assumptions!$C$17)-(5*Assumptions!$B$111))*K7</f>
        <v>8678439.0092200711</v>
      </c>
      <c r="L37" s="17">
        <f>((Assumptions!$C$45*Assumptions!$C$17)-(5*Assumptions!$B$111))*L7</f>
        <v>6914159.7428607726</v>
      </c>
      <c r="M37" s="44"/>
      <c r="N37" s="10"/>
    </row>
    <row r="38" spans="1:14" hidden="1" x14ac:dyDescent="0.3">
      <c r="A38" s="64" t="s">
        <v>228</v>
      </c>
      <c r="B38" s="17">
        <f t="shared" ref="B38:L38" si="13">B36+B37</f>
        <v>0</v>
      </c>
      <c r="C38" s="17">
        <f t="shared" si="13"/>
        <v>37020522.020935461</v>
      </c>
      <c r="D38" s="17">
        <f t="shared" si="13"/>
        <v>76573374.091030672</v>
      </c>
      <c r="E38" s="17">
        <f t="shared" si="13"/>
        <v>84255584.616691947</v>
      </c>
      <c r="F38" s="17">
        <f t="shared" si="13"/>
        <v>74809094.824671358</v>
      </c>
      <c r="G38" s="17">
        <f t="shared" si="13"/>
        <v>54617777.434742048</v>
      </c>
      <c r="H38" s="17">
        <f t="shared" si="13"/>
        <v>19933526.173337102</v>
      </c>
      <c r="I38" s="17">
        <f t="shared" si="13"/>
        <v>37020522.020935461</v>
      </c>
      <c r="J38" s="17">
        <f t="shared" si="13"/>
        <v>76573374.091030672</v>
      </c>
      <c r="K38" s="17">
        <f t="shared" si="13"/>
        <v>84255584.616691947</v>
      </c>
      <c r="L38" s="17">
        <f t="shared" si="13"/>
        <v>74809094.824671358</v>
      </c>
      <c r="M38" s="53">
        <f>SUM(B38:L38)</f>
        <v>619868454.71473801</v>
      </c>
      <c r="N38" s="10"/>
    </row>
    <row r="39" spans="1:14" hidden="1" x14ac:dyDescent="0.3">
      <c r="A39" s="64" t="s">
        <v>163</v>
      </c>
      <c r="B39" s="17">
        <f>(Assumptions!$C$45*Assumptions!$C$17*B7)+(B34*12*Assumptions!$C$44)*(B7)</f>
        <v>0</v>
      </c>
      <c r="C39" s="17">
        <f>(Assumptions!$C$45*Assumptions!$C$17*C7)+(C34*12*Assumptions!$C$44)*(C7+B7)</f>
        <v>39604481.899058655</v>
      </c>
      <c r="D39" s="17">
        <f>(Assumptions!$C$45*Assumptions!$C$17*D7)+(D34*12*Assumptions!$C$44)*(D7+C7)</f>
        <v>81640652.120520011</v>
      </c>
      <c r="E39" s="17">
        <f>(Assumptions!$C$45*Assumptions!$C$17*E7)+(E34*12*Assumptions!$C$44)*(E7+D7)</f>
        <v>89788283.685727835</v>
      </c>
      <c r="F39" s="17">
        <f>(Assumptions!$C$45*Assumptions!$C$17*F7)+(F34*12*Assumptions!$C$44)*(F7+E7)</f>
        <v>79682447.421016291</v>
      </c>
      <c r="G39" s="17">
        <f>(Assumptions!$C$45*Assumptions!$C$17*G7)+(G34*12*Assumptions!$C$44)*(G7+F7)</f>
        <v>58152597.849829748</v>
      </c>
      <c r="H39" s="17">
        <f>(Assumptions!$C$45*Assumptions!$C$17*H7)+(H34*12*Assumptions!$C$44)*(H7+G7)</f>
        <v>21141184.10492241</v>
      </c>
      <c r="I39" s="17">
        <f>(Assumptions!$C$45*Assumptions!$C$17*I7)+(I34*12*Assumptions!$C$44)*(I7+H7)</f>
        <v>39604481.899058655</v>
      </c>
      <c r="J39" s="17">
        <f>(Assumptions!$C$45*Assumptions!$C$17*J7)+(J34*12*Assumptions!$C$44)*(J7+I7)</f>
        <v>81640652.120520011</v>
      </c>
      <c r="K39" s="17">
        <f>(Assumptions!$C$45*Assumptions!$C$17*K7)+(K34*12*Assumptions!$C$44)*(K7+J7)</f>
        <v>89788283.685727835</v>
      </c>
      <c r="L39" s="17">
        <f>(Assumptions!$C$45*Assumptions!$C$17*L7)+(L34*12*Assumptions!$C$44)*(L7+K7)</f>
        <v>79682447.421016291</v>
      </c>
      <c r="M39" s="53">
        <f>SUM(B39:L39)</f>
        <v>660725512.20739782</v>
      </c>
      <c r="N39" s="10"/>
    </row>
    <row r="40" spans="1:14" hidden="1" x14ac:dyDescent="0.3">
      <c r="A40" s="64" t="s">
        <v>164</v>
      </c>
      <c r="B40" s="17">
        <f>B39-B33</f>
        <v>0</v>
      </c>
      <c r="C40" s="17">
        <f>C39-C33</f>
        <v>1977413.8426786065</v>
      </c>
      <c r="D40" s="17">
        <f t="shared" ref="D40:L40" si="14">D39-D33</f>
        <v>-3214745.5329944193</v>
      </c>
      <c r="E40" s="17">
        <f t="shared" si="14"/>
        <v>-7418966.1688666493</v>
      </c>
      <c r="F40" s="17">
        <f t="shared" si="14"/>
        <v>-11375997.036842629</v>
      </c>
      <c r="G40" s="17">
        <f t="shared" si="14"/>
        <v>-14042984.53105098</v>
      </c>
      <c r="H40" s="17">
        <f t="shared" si="14"/>
        <v>-16177920.87990405</v>
      </c>
      <c r="I40" s="17">
        <f t="shared" si="14"/>
        <v>-9499264.656995669</v>
      </c>
      <c r="J40" s="17">
        <f t="shared" si="14"/>
        <v>-11238967.888649881</v>
      </c>
      <c r="K40" s="17">
        <f t="shared" si="14"/>
        <v>-11990732.380503312</v>
      </c>
      <c r="L40" s="17">
        <f t="shared" si="14"/>
        <v>-13197172.588153556</v>
      </c>
      <c r="M40" s="53">
        <f>SUM(B40:L40)</f>
        <v>-96179337.821282536</v>
      </c>
      <c r="N40" s="10"/>
    </row>
    <row r="41" spans="1:14" x14ac:dyDescent="0.3">
      <c r="A41" s="48" t="s">
        <v>319</v>
      </c>
      <c r="B41" s="42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44"/>
      <c r="N41" s="10"/>
    </row>
    <row r="42" spans="1:14" x14ac:dyDescent="0.3">
      <c r="A42" t="s">
        <v>130</v>
      </c>
      <c r="B42" s="42">
        <f>((Assumptions!$C$16*(1-Assumptions!$C$96))*(Assumptions!$C$26*B7))</f>
        <v>0</v>
      </c>
      <c r="C42" s="17">
        <f>((Assumptions!$C$16*(1-Assumptions!$C$96))*Assumptions!$C$26)*(C7+B7)</f>
        <v>27901181.916843455</v>
      </c>
      <c r="D42" s="17">
        <f>((Assumptions!$C$16*(1-Assumptions!$C$96))*Assumptions!$C$26)*(D7+C7)</f>
        <v>62921880.679335907</v>
      </c>
      <c r="E42" s="17">
        <f>((Assumptions!$C$16*(1-Assumptions!$C$96))*Assumptions!$C$26)*(E7+D7)</f>
        <v>70041397.524984911</v>
      </c>
      <c r="F42" s="17">
        <f>((Assumptions!$C$16*(1-Assumptions!$C$96))*Assumptions!$C$26)*(F7+E7)</f>
        <v>62921880.679335885</v>
      </c>
      <c r="G42" s="17">
        <f>((Assumptions!$C$16*(1-Assumptions!$C$96))*Assumptions!$C$26)*(G7+F7)</f>
        <v>46374650.576704577</v>
      </c>
      <c r="H42" s="17">
        <f>((Assumptions!$C$16*(1-Assumptions!$C$96))*Assumptions!$C$26)*(H7+G7)</f>
        <v>18473468.659861162</v>
      </c>
      <c r="I42" s="17">
        <f>((Assumptions!$C$16*(1-Assumptions!$C$96))*Assumptions!$C$26)*(I7+H7)</f>
        <v>27901181.916843455</v>
      </c>
      <c r="J42" s="17">
        <f>((Assumptions!$C$16*(1-Assumptions!$C$96))*Assumptions!$C$26)*(J7+I7)</f>
        <v>62921880.679335907</v>
      </c>
      <c r="K42" s="17">
        <f>((Assumptions!$C$16*(1-Assumptions!$C$96))*Assumptions!$C$26)*(K7+J7)</f>
        <v>70041397.524984911</v>
      </c>
      <c r="L42" s="17">
        <f>((Assumptions!$C$16*(1-Assumptions!$C$96))*Assumptions!$C$26)*(L7+K7)</f>
        <v>62921880.679335885</v>
      </c>
      <c r="M42" s="44"/>
      <c r="N42" s="10"/>
    </row>
    <row r="43" spans="1:14" x14ac:dyDescent="0.3">
      <c r="A43" t="s">
        <v>131</v>
      </c>
      <c r="B43" s="42">
        <f>Assumptions!$C$29*(B4)</f>
        <v>0</v>
      </c>
      <c r="C43" s="17">
        <f>Assumptions!$C$29*(C4)</f>
        <v>2750590.6603257284</v>
      </c>
      <c r="D43" s="17">
        <f>Assumptions!$C$29*(D4)</f>
        <v>6203046.8043445321</v>
      </c>
      <c r="E43" s="17">
        <f>Assumptions!$C$29*(E4)</f>
        <v>9655502.9483633377</v>
      </c>
      <c r="F43" s="17">
        <f>Assumptions!$C$29*(F4)</f>
        <v>12406093.608689062</v>
      </c>
      <c r="G43" s="17">
        <f>Assumptions!$C$29*(G4)</f>
        <v>14227269.16</v>
      </c>
      <c r="H43" s="17">
        <f>Assumptions!$C$29*(H4)</f>
        <v>14227269.16</v>
      </c>
      <c r="I43" s="17">
        <f>Assumptions!$C$29*(I4)</f>
        <v>14227269.16</v>
      </c>
      <c r="J43" s="17">
        <f>Assumptions!$C$29*(J4)</f>
        <v>14227269.16</v>
      </c>
      <c r="K43" s="17">
        <f>Assumptions!$C$29*(K4)</f>
        <v>14227269.16</v>
      </c>
      <c r="L43" s="17">
        <f>Assumptions!$C$29*(L4)</f>
        <v>14227269.16</v>
      </c>
      <c r="M43" s="44"/>
      <c r="N43" s="10"/>
    </row>
    <row r="44" spans="1:14" x14ac:dyDescent="0.3">
      <c r="A44" t="s">
        <v>115</v>
      </c>
      <c r="B44" s="42">
        <f t="shared" ref="B44:L44" si="15">SUM(B42:B43)</f>
        <v>0</v>
      </c>
      <c r="C44" s="17">
        <f t="shared" si="15"/>
        <v>30651772.577169184</v>
      </c>
      <c r="D44" s="17">
        <f t="shared" si="15"/>
        <v>69124927.483680442</v>
      </c>
      <c r="E44" s="17">
        <f t="shared" si="15"/>
        <v>79696900.473348245</v>
      </c>
      <c r="F44" s="17">
        <f t="shared" si="15"/>
        <v>75327974.288024947</v>
      </c>
      <c r="G44" s="17">
        <f t="shared" si="15"/>
        <v>60601919.736704573</v>
      </c>
      <c r="H44" s="17">
        <f t="shared" si="15"/>
        <v>32700737.819861162</v>
      </c>
      <c r="I44" s="17">
        <f t="shared" si="15"/>
        <v>42128451.076843455</v>
      </c>
      <c r="J44" s="17">
        <f t="shared" si="15"/>
        <v>77149149.839335904</v>
      </c>
      <c r="K44" s="17">
        <f t="shared" si="15"/>
        <v>84268666.684984908</v>
      </c>
      <c r="L44" s="17">
        <f t="shared" si="15"/>
        <v>77149149.839335889</v>
      </c>
      <c r="M44" s="44">
        <f>SUM(B44:L44)</f>
        <v>628799649.81928873</v>
      </c>
      <c r="N44" s="10"/>
    </row>
    <row r="45" spans="1:14" x14ac:dyDescent="0.3">
      <c r="A45" s="64" t="s">
        <v>124</v>
      </c>
      <c r="B45" s="17">
        <f>((((1-Assumptions!$C$45)*(1-Assumptions!$C$96)*Assumptions!$C$17)*Assumptions!$C$46/12)/((1-(1+Assumptions!$C$46/12)^-24)))</f>
        <v>7.7390247889444579</v>
      </c>
      <c r="C45" s="17">
        <f>((((1-Assumptions!$C$45)*(1-Assumptions!$C$96)*Assumptions!$C$17)*Assumptions!$C$46/12)/((1-(1+Assumptions!$C$46/12)^-24)))</f>
        <v>7.7390247889444579</v>
      </c>
      <c r="D45" s="17">
        <f>((((1-Assumptions!$C$45)*(1-Assumptions!$C$96)*Assumptions!$C$17)*Assumptions!$C$46/12)/((1-(1+Assumptions!$C$46/12)^-24)))</f>
        <v>7.7390247889444579</v>
      </c>
      <c r="E45" s="17">
        <f>((((1-Assumptions!$C$45)*(1-Assumptions!$C$96)*Assumptions!$C$17)*Assumptions!$C$46/12)/((1-(1+Assumptions!$C$46/12)^-24)))</f>
        <v>7.7390247889444579</v>
      </c>
      <c r="F45" s="17">
        <f>((((1-Assumptions!$C$45)*(1-Assumptions!$C$96)*Assumptions!$C$17)*Assumptions!$C$46/12)/((1-(1+Assumptions!$C$46/12)^-24)))</f>
        <v>7.7390247889444579</v>
      </c>
      <c r="G45" s="17">
        <f>((((1-Assumptions!$C$45)*(1-Assumptions!$C$96)*Assumptions!$C$17)*Assumptions!$C$46/12)/((1-(1+Assumptions!$C$46/12)^-24)))</f>
        <v>7.7390247889444579</v>
      </c>
      <c r="H45" s="17">
        <f>((((1-Assumptions!$C$45)*(1-Assumptions!$C$96)*Assumptions!$C$17)*Assumptions!$C$46/12)/((1-(1+Assumptions!$C$46/12)^-24)))</f>
        <v>7.7390247889444579</v>
      </c>
      <c r="I45" s="17">
        <f>((((1-Assumptions!$C$45)*(1-Assumptions!$C$96)*Assumptions!$C$17)*Assumptions!$C$46/12)/((1-(1+Assumptions!$C$46/12)^-24)))</f>
        <v>7.7390247889444579</v>
      </c>
      <c r="J45" s="17">
        <f>((((1-Assumptions!$C$45)*(1-Assumptions!$C$96)*Assumptions!$C$17)*Assumptions!$C$46/12)/((1-(1+Assumptions!$C$46/12)^-24)))</f>
        <v>7.7390247889444579</v>
      </c>
      <c r="K45" s="17">
        <f>((((1-Assumptions!$C$45)*(1-Assumptions!$C$96)*Assumptions!$C$17)*Assumptions!$C$46/12)/((1-(1+Assumptions!$C$46/12)^-24)))</f>
        <v>7.7390247889444579</v>
      </c>
      <c r="L45" s="67">
        <f>((((1-Assumptions!$C$45)*(1-Assumptions!$C$96)*Assumptions!$C$17)*Assumptions!$C$46/12)/((1-(1+Assumptions!$C$46/12)^-24)))</f>
        <v>7.7390247889444579</v>
      </c>
      <c r="M45" s="65"/>
      <c r="N45" s="10"/>
    </row>
    <row r="46" spans="1:14" x14ac:dyDescent="0.3">
      <c r="A46" s="64" t="s">
        <v>126</v>
      </c>
      <c r="B46" s="17">
        <f>Assumptions!$B$111</f>
        <v>0.55259999999999998</v>
      </c>
      <c r="C46" s="17">
        <f>Assumptions!$B$111</f>
        <v>0.55259999999999998</v>
      </c>
      <c r="D46" s="17">
        <f>Assumptions!$B$111</f>
        <v>0.55259999999999998</v>
      </c>
      <c r="E46" s="17">
        <f>Assumptions!$B$111</f>
        <v>0.55259999999999998</v>
      </c>
      <c r="F46" s="17">
        <f>Assumptions!$B$111</f>
        <v>0.55259999999999998</v>
      </c>
      <c r="G46" s="17">
        <f>Assumptions!$B$111</f>
        <v>0.55259999999999998</v>
      </c>
      <c r="H46" s="17">
        <f>Assumptions!$B$111</f>
        <v>0.55259999999999998</v>
      </c>
      <c r="I46" s="17">
        <f>Assumptions!$B$111</f>
        <v>0.55259999999999998</v>
      </c>
      <c r="J46" s="17">
        <f>Assumptions!$B$111</f>
        <v>0.55259999999999998</v>
      </c>
      <c r="K46" s="17">
        <f>Assumptions!$B$111</f>
        <v>0.55259999999999998</v>
      </c>
      <c r="L46" s="67">
        <f>Assumptions!$B$111</f>
        <v>0.55259999999999998</v>
      </c>
      <c r="M46" s="65"/>
      <c r="N46" s="10"/>
    </row>
    <row r="47" spans="1:14" x14ac:dyDescent="0.3">
      <c r="A47" s="64" t="s">
        <v>127</v>
      </c>
      <c r="B47" s="17">
        <f>(B45-B46)*12*(B7)</f>
        <v>0</v>
      </c>
      <c r="C47" s="17">
        <f>(C45-C46)*12*(C7+B7)</f>
        <v>23720295.486724705</v>
      </c>
      <c r="D47" s="17">
        <f t="shared" ref="D47:L47" si="16">(D45-D46)*12*(D7+C7)</f>
        <v>53493275.186069101</v>
      </c>
      <c r="E47" s="17">
        <f t="shared" si="16"/>
        <v>59545959.398688801</v>
      </c>
      <c r="F47" s="17">
        <f t="shared" si="16"/>
        <v>53493275.186069079</v>
      </c>
      <c r="G47" s="17">
        <f t="shared" si="16"/>
        <v>39425584.839077286</v>
      </c>
      <c r="H47" s="17">
        <f t="shared" si="16"/>
        <v>15705289.352352621</v>
      </c>
      <c r="I47" s="17">
        <f t="shared" si="16"/>
        <v>23720295.486724705</v>
      </c>
      <c r="J47" s="17">
        <f t="shared" si="16"/>
        <v>53493275.186069101</v>
      </c>
      <c r="K47" s="17">
        <f t="shared" si="16"/>
        <v>59545959.398688801</v>
      </c>
      <c r="L47" s="17">
        <f t="shared" si="16"/>
        <v>53493275.186069079</v>
      </c>
      <c r="M47" s="44"/>
      <c r="N47" s="10"/>
    </row>
    <row r="48" spans="1:14" x14ac:dyDescent="0.3">
      <c r="A48" s="64" t="s">
        <v>123</v>
      </c>
      <c r="B48" s="17">
        <f>((Assumptions!$C$45*Assumptions!$C$17*(1-Assumptions!$C$96))-(5*Assumptions!$B$111))*B7</f>
        <v>0</v>
      </c>
      <c r="C48" s="17">
        <f>((Assumptions!$C$45*Assumptions!$C$17*(1-Assumptions!$C$96))-(5*Assumptions!$B$111))*C7</f>
        <v>5379330.1543990271</v>
      </c>
      <c r="D48" s="17">
        <f>((Assumptions!$C$45*Assumptions!$C$17*(1-Assumptions!$C$96))-(5*Assumptions!$B$111))*D7</f>
        <v>6751968.4808575753</v>
      </c>
      <c r="E48" s="17">
        <f>((Assumptions!$C$45*Assumptions!$C$17*(1-Assumptions!$C$96))-(5*Assumptions!$B$111))*E7</f>
        <v>6751968.4808575781</v>
      </c>
      <c r="F48" s="17">
        <f>((Assumptions!$C$45*Assumptions!$C$17*(1-Assumptions!$C$96))-(5*Assumptions!$B$111))*F7</f>
        <v>5379330.1543990197</v>
      </c>
      <c r="G48" s="17">
        <f>((Assumptions!$C$45*Assumptions!$C$17*(1-Assumptions!$C$96))-(5*Assumptions!$B$111))*G7</f>
        <v>3561673.0256988024</v>
      </c>
      <c r="H48" s="17">
        <f>((Assumptions!$C$45*Assumptions!$C$17*(1-Assumptions!$C$96))-(5*Assumptions!$B$111))*H7</f>
        <v>0</v>
      </c>
      <c r="I48" s="17">
        <f>((Assumptions!$C$45*Assumptions!$C$17*(1-Assumptions!$C$96))-(5*Assumptions!$B$111))*I7</f>
        <v>5379330.1543990271</v>
      </c>
      <c r="J48" s="17">
        <f>((Assumptions!$C$45*Assumptions!$C$17*(1-Assumptions!$C$96))-(5*Assumptions!$B$111))*J7</f>
        <v>6751968.4808575753</v>
      </c>
      <c r="K48" s="17">
        <f>((Assumptions!$C$45*Assumptions!$C$17*(1-Assumptions!$C$96))-(5*Assumptions!$B$111))*K7</f>
        <v>6751968.4808575781</v>
      </c>
      <c r="L48" s="17">
        <f>((Assumptions!$C$45*Assumptions!$C$17*(1-Assumptions!$C$96))-(5*Assumptions!$B$111))*L7</f>
        <v>5379330.1543990197</v>
      </c>
      <c r="M48" s="44"/>
      <c r="N48" s="10"/>
    </row>
    <row r="49" spans="1:14" x14ac:dyDescent="0.3">
      <c r="A49" s="64" t="s">
        <v>227</v>
      </c>
      <c r="B49" s="17">
        <f>B47+B48+(B7*Assumptions!$C$17*(Assumptions!$C$96))</f>
        <v>0</v>
      </c>
      <c r="C49" s="17">
        <f>C47+C48+(C7*Assumptions!$C$17*(Assumptions!$C$96))</f>
        <v>39331822.897535443</v>
      </c>
      <c r="D49" s="17">
        <f>D47+D48+(D7*Assumptions!$C$17*(Assumptions!$C$96))</f>
        <v>73088380.522676617</v>
      </c>
      <c r="E49" s="17">
        <f>E47+E48+(E7*Assumptions!$C$17*(Assumptions!$C$96))</f>
        <v>79141064.735296339</v>
      </c>
      <c r="F49" s="17">
        <f>F47+F48+(F7*Assumptions!$C$17*(Assumptions!$C$96))</f>
        <v>69104802.596879795</v>
      </c>
      <c r="G49" s="17">
        <f>G47+G48+(G7*Assumptions!$C$17*(Assumptions!$C$96))</f>
        <v>49762030.915652782</v>
      </c>
      <c r="H49" s="17">
        <f>H47+H48+(H7*Assumptions!$C$17*(Assumptions!$C$96))</f>
        <v>15705289.352352621</v>
      </c>
      <c r="I49" s="17">
        <f>I47+I48+(I7*Assumptions!$C$17*(Assumptions!$C$96))</f>
        <v>39331822.897535443</v>
      </c>
      <c r="J49" s="17">
        <f>J47+J48+(J7*Assumptions!$C$17*(Assumptions!$C$96))</f>
        <v>73088380.522676617</v>
      </c>
      <c r="K49" s="17">
        <f>K47+K48+(K7*Assumptions!$C$17*(Assumptions!$C$96))</f>
        <v>79141064.735296339</v>
      </c>
      <c r="L49" s="17">
        <f>L47+L48+(L7*Assumptions!$C$17*(Assumptions!$C$96))</f>
        <v>69104802.596879795</v>
      </c>
      <c r="M49" s="53">
        <f>SUM(B49:L49)</f>
        <v>586799461.77278185</v>
      </c>
      <c r="N49" s="10"/>
    </row>
    <row r="50" spans="1:14" x14ac:dyDescent="0.3">
      <c r="A50" s="64" t="s">
        <v>163</v>
      </c>
      <c r="B50" s="17">
        <f>(Assumptions!$C$45*Assumptions!$C$17*(1-Assumptions!$C$96)*B7)+(B45*12*Assumptions!$C$44)*(B7)</f>
        <v>0</v>
      </c>
      <c r="C50" s="17">
        <f>(Assumptions!$C$45*Assumptions!$C$17*(1-Assumptions!$C$96)*C7)+(C45*12*Assumptions!$C$44)*(C7+B7)</f>
        <v>31683585.519246925</v>
      </c>
      <c r="D50" s="17">
        <f>(Assumptions!$C$45*Assumptions!$C$17*(1-Assumptions!$C$96)*D7)+(D45*12*Assumptions!$C$44)*(D7+C7)</f>
        <v>65312521.696416005</v>
      </c>
      <c r="E50" s="17">
        <f>(Assumptions!$C$45*Assumptions!$C$17*(1-Assumptions!$C$96)*E7)+(E45*12*Assumptions!$C$44)*(E7+D7)</f>
        <v>71830626.948582262</v>
      </c>
      <c r="F50" s="17">
        <f>(Assumptions!$C$45*Assumptions!$C$17*(1-Assumptions!$C$96)*F7)+(F45*12*Assumptions!$C$44)*(F7+E7)</f>
        <v>63745957.936813034</v>
      </c>
      <c r="G50" s="17">
        <f>(Assumptions!$C$45*Assumptions!$C$17*(1-Assumptions!$C$96)*G7)+(G45*12*Assumptions!$C$44)*(G7+F7)</f>
        <v>46522078.279863805</v>
      </c>
      <c r="H50" s="17">
        <f>(Assumptions!$C$45*Assumptions!$C$17*(1-Assumptions!$C$96)*H7)+(H45*12*Assumptions!$C$44)*(H7+G7)</f>
        <v>16912947.283937927</v>
      </c>
      <c r="I50" s="17">
        <f>(Assumptions!$C$45*Assumptions!$C$17*(1-Assumptions!$C$96)*I7)+(I45*12*Assumptions!$C$44)*(I7+H7)</f>
        <v>31683585.519246925</v>
      </c>
      <c r="J50" s="17">
        <f>(Assumptions!$C$45*Assumptions!$C$17*(1-Assumptions!$C$96)*J7)+(J45*12*Assumptions!$C$44)*(J7+I7)</f>
        <v>65312521.696416005</v>
      </c>
      <c r="K50" s="17">
        <f>(Assumptions!$C$45*Assumptions!$C$17*(1-Assumptions!$C$96)*K7)+(K45*12*Assumptions!$C$44)*(K7+J7)</f>
        <v>71830626.948582262</v>
      </c>
      <c r="L50" s="17">
        <f>(Assumptions!$C$45*Assumptions!$C$17*(1-Assumptions!$C$96)*L7)+(L45*12*Assumptions!$C$44)*(L7+K7)</f>
        <v>63745957.936813034</v>
      </c>
      <c r="M50" s="53">
        <f t="shared" ref="M50:M51" si="17">SUM(B50:L50)</f>
        <v>528580409.7659182</v>
      </c>
      <c r="N50" s="10"/>
    </row>
    <row r="51" spans="1:14" x14ac:dyDescent="0.3">
      <c r="A51" s="64" t="s">
        <v>164</v>
      </c>
      <c r="B51" s="17">
        <f>B50-B44</f>
        <v>0</v>
      </c>
      <c r="C51" s="17">
        <f>C50-C44</f>
        <v>1031812.942077741</v>
      </c>
      <c r="D51" s="17">
        <f t="shared" ref="D51" si="18">D50-D44</f>
        <v>-3812405.7872644365</v>
      </c>
      <c r="E51" s="17">
        <f t="shared" ref="E51" si="19">E50-E44</f>
        <v>-7866273.5247659832</v>
      </c>
      <c r="F51" s="17">
        <f t="shared" ref="F51" si="20">F50-F44</f>
        <v>-11582016.351211913</v>
      </c>
      <c r="G51" s="17">
        <f t="shared" ref="G51" si="21">G50-G44</f>
        <v>-14079841.456840768</v>
      </c>
      <c r="H51" s="17">
        <f t="shared" ref="H51" si="22">H50-H44</f>
        <v>-15787790.535923235</v>
      </c>
      <c r="I51" s="17">
        <f t="shared" ref="I51" si="23">I50-I44</f>
        <v>-10444865.557596531</v>
      </c>
      <c r="J51" s="17">
        <f t="shared" ref="J51" si="24">J50-J44</f>
        <v>-11836628.142919898</v>
      </c>
      <c r="K51" s="17">
        <f t="shared" ref="K51" si="25">K50-K44</f>
        <v>-12438039.736402646</v>
      </c>
      <c r="L51" s="17">
        <f t="shared" ref="L51" si="26">L50-L44</f>
        <v>-13403191.902522855</v>
      </c>
      <c r="M51" s="53">
        <f t="shared" si="17"/>
        <v>-100219240.05337054</v>
      </c>
      <c r="N51" s="10"/>
    </row>
    <row r="52" spans="1:14" x14ac:dyDescent="0.3">
      <c r="A52" s="98" t="s">
        <v>108</v>
      </c>
      <c r="B52" s="98"/>
      <c r="C52" s="98"/>
      <c r="D52" s="98"/>
      <c r="E52" s="98"/>
      <c r="F52" s="98"/>
      <c r="G52" s="98"/>
      <c r="H52" s="47"/>
      <c r="I52" s="47"/>
      <c r="J52" s="47"/>
      <c r="K52" s="47"/>
      <c r="L52" s="47"/>
      <c r="M52" s="46"/>
      <c r="N52" s="10"/>
    </row>
    <row r="53" spans="1:14" x14ac:dyDescent="0.3">
      <c r="A53" t="s">
        <v>204</v>
      </c>
      <c r="B53" s="42">
        <f>B$5*Assumptions!$C$88</f>
        <v>0</v>
      </c>
      <c r="C53" s="17">
        <f>C$5*Assumptions!$C$88</f>
        <v>231324674.53339374</v>
      </c>
      <c r="D53" s="17">
        <f>D$5*Assumptions!$C$88</f>
        <v>290351561.71198136</v>
      </c>
      <c r="E53" s="17">
        <f>E$5*Assumptions!$C$88</f>
        <v>290351561.71198153</v>
      </c>
      <c r="F53" s="17">
        <f>F$5*Assumptions!$C$88</f>
        <v>231324674.53339341</v>
      </c>
      <c r="G53" s="17">
        <f>G$5*Assumptions!$C$88</f>
        <v>153160863.8652499</v>
      </c>
      <c r="H53" s="17">
        <f>H$5*Assumptions!$C$88</f>
        <v>0</v>
      </c>
      <c r="I53" s="17">
        <f>I$5*Assumptions!$C$88</f>
        <v>0</v>
      </c>
      <c r="J53" s="17">
        <f>J$5*Assumptions!$C$88</f>
        <v>0</v>
      </c>
      <c r="K53" s="17">
        <f>K$5*Assumptions!$C$88</f>
        <v>0</v>
      </c>
      <c r="L53" s="17">
        <f>L$5*Assumptions!$C$88</f>
        <v>0</v>
      </c>
      <c r="M53" s="53">
        <f>SUM(B53:G53)</f>
        <v>1196513336.3559999</v>
      </c>
    </row>
    <row r="54" spans="1:14" x14ac:dyDescent="0.3">
      <c r="B54" s="42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44"/>
    </row>
  </sheetData>
  <mergeCells count="6">
    <mergeCell ref="A52:G52"/>
    <mergeCell ref="A1:M1"/>
    <mergeCell ref="A8:G8"/>
    <mergeCell ref="A12:G12"/>
    <mergeCell ref="A16:G16"/>
    <mergeCell ref="A29:G2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DD5EE-1375-4DB1-8EE3-9A719872B8F8}">
  <sheetPr codeName="Sheet5"/>
  <dimension ref="A1:M98"/>
  <sheetViews>
    <sheetView zoomScale="55" workbookViewId="0">
      <selection activeCell="B9" sqref="B9:F9"/>
    </sheetView>
  </sheetViews>
  <sheetFormatPr defaultRowHeight="14.4" x14ac:dyDescent="0.3"/>
  <cols>
    <col min="1" max="1" width="3" customWidth="1"/>
    <col min="2" max="2" width="29" customWidth="1"/>
    <col min="3" max="3" width="27.5546875" customWidth="1"/>
    <col min="4" max="4" width="30.21875" bestFit="1" customWidth="1"/>
    <col min="5" max="5" width="29.21875" customWidth="1"/>
    <col min="6" max="6" width="18.6640625" bestFit="1" customWidth="1"/>
    <col min="9" max="9" width="13.6640625" bestFit="1" customWidth="1"/>
    <col min="10" max="10" width="17.109375" customWidth="1"/>
    <col min="11" max="11" width="20.88671875" customWidth="1"/>
    <col min="12" max="13" width="18.6640625" bestFit="1" customWidth="1"/>
  </cols>
  <sheetData>
    <row r="1" spans="1:13" x14ac:dyDescent="0.3">
      <c r="B1" s="112" t="s">
        <v>2</v>
      </c>
      <c r="C1" s="112"/>
      <c r="D1" s="112"/>
      <c r="E1" s="112"/>
      <c r="F1" s="112"/>
      <c r="I1" s="112" t="s">
        <v>3</v>
      </c>
      <c r="J1" s="112"/>
      <c r="K1" s="112"/>
      <c r="L1" s="112"/>
      <c r="M1" s="112"/>
    </row>
    <row r="2" spans="1:13" x14ac:dyDescent="0.3">
      <c r="B2" s="91" t="s">
        <v>234</v>
      </c>
      <c r="C2" s="91" t="s">
        <v>235</v>
      </c>
      <c r="D2" s="91" t="s">
        <v>236</v>
      </c>
      <c r="E2" s="91" t="s">
        <v>202</v>
      </c>
      <c r="F2" s="91" t="s">
        <v>199</v>
      </c>
      <c r="I2" s="91" t="s">
        <v>234</v>
      </c>
      <c r="J2" s="91" t="s">
        <v>235</v>
      </c>
      <c r="K2" s="91" t="s">
        <v>236</v>
      </c>
      <c r="L2" s="91" t="s">
        <v>202</v>
      </c>
      <c r="M2" s="91" t="s">
        <v>199</v>
      </c>
    </row>
    <row r="3" spans="1:13" x14ac:dyDescent="0.3">
      <c r="A3">
        <v>1</v>
      </c>
      <c r="B3" t="s">
        <v>229</v>
      </c>
      <c r="C3" t="s">
        <v>230</v>
      </c>
      <c r="D3" t="s">
        <v>230</v>
      </c>
      <c r="E3" s="16">
        <v>-2135562.2132386314</v>
      </c>
      <c r="F3" s="16">
        <v>61445073.522971824</v>
      </c>
      <c r="I3" t="s">
        <v>229</v>
      </c>
      <c r="J3" t="s">
        <v>230</v>
      </c>
      <c r="K3" t="s">
        <v>230</v>
      </c>
      <c r="L3" s="16">
        <v>220200912.27748069</v>
      </c>
      <c r="M3" s="16">
        <v>304214181.21453691</v>
      </c>
    </row>
    <row r="4" spans="1:13" x14ac:dyDescent="0.3">
      <c r="A4">
        <v>2</v>
      </c>
      <c r="B4" t="s">
        <v>229</v>
      </c>
      <c r="C4" t="s">
        <v>230</v>
      </c>
      <c r="D4" t="s">
        <v>238</v>
      </c>
      <c r="E4" s="16">
        <v>-4669852.8143920843</v>
      </c>
      <c r="F4" s="16">
        <v>134362486.72270107</v>
      </c>
      <c r="I4" t="s">
        <v>229</v>
      </c>
      <c r="J4" t="s">
        <v>230</v>
      </c>
      <c r="K4" t="s">
        <v>238</v>
      </c>
      <c r="L4" s="16">
        <v>257161349.09001303</v>
      </c>
      <c r="M4" s="16">
        <v>355276135.98104298</v>
      </c>
    </row>
    <row r="5" spans="1:13" x14ac:dyDescent="0.3">
      <c r="A5">
        <v>3</v>
      </c>
      <c r="B5" t="s">
        <v>229</v>
      </c>
      <c r="C5" t="s">
        <v>239</v>
      </c>
      <c r="D5" t="s">
        <v>230</v>
      </c>
      <c r="E5" s="16">
        <v>105469861.757364</v>
      </c>
      <c r="F5" s="16">
        <v>118413610.25177601</v>
      </c>
      <c r="I5" t="s">
        <v>229</v>
      </c>
      <c r="J5" t="s">
        <v>239</v>
      </c>
      <c r="K5" t="s">
        <v>230</v>
      </c>
      <c r="L5" s="16">
        <v>440472431.90264577</v>
      </c>
      <c r="M5" s="16">
        <v>420830478.9162581</v>
      </c>
    </row>
    <row r="6" spans="1:13" x14ac:dyDescent="0.3">
      <c r="A6">
        <v>4</v>
      </c>
      <c r="B6" t="s">
        <v>229</v>
      </c>
      <c r="C6" t="s">
        <v>239</v>
      </c>
      <c r="D6" t="s">
        <v>238</v>
      </c>
      <c r="E6" s="16">
        <v>230631881.24790683</v>
      </c>
      <c r="F6" s="16">
        <v>258936090.77207989</v>
      </c>
      <c r="I6" t="s">
        <v>229</v>
      </c>
      <c r="J6" t="s">
        <v>239</v>
      </c>
      <c r="K6" t="s">
        <v>238</v>
      </c>
      <c r="L6" s="16">
        <v>514405156.87921268</v>
      </c>
      <c r="M6" s="16">
        <v>491466327.62324226</v>
      </c>
    </row>
    <row r="7" spans="1:13" x14ac:dyDescent="0.3">
      <c r="A7">
        <v>5</v>
      </c>
      <c r="B7" t="s">
        <v>229</v>
      </c>
      <c r="C7" t="s">
        <v>238</v>
      </c>
      <c r="D7" t="s">
        <v>230</v>
      </c>
      <c r="E7" s="16">
        <v>180793658.53678587</v>
      </c>
      <c r="F7" s="16">
        <v>158291585.96193895</v>
      </c>
      <c r="I7" t="s">
        <v>229</v>
      </c>
      <c r="J7" t="s">
        <v>238</v>
      </c>
      <c r="K7" t="s">
        <v>230</v>
      </c>
      <c r="L7" s="16">
        <v>594662495.64026129</v>
      </c>
      <c r="M7" s="16">
        <v>502461887.30746299</v>
      </c>
    </row>
    <row r="8" spans="1:13" x14ac:dyDescent="0.3">
      <c r="A8">
        <v>6</v>
      </c>
      <c r="B8" t="s">
        <v>229</v>
      </c>
      <c r="C8" t="s">
        <v>238</v>
      </c>
      <c r="D8" t="s">
        <v>238</v>
      </c>
      <c r="E8" s="16">
        <v>395343095.09151608</v>
      </c>
      <c r="F8" s="16">
        <v>346137613.60664505</v>
      </c>
      <c r="I8" t="s">
        <v>229</v>
      </c>
      <c r="J8" t="s">
        <v>238</v>
      </c>
      <c r="K8" t="s">
        <v>238</v>
      </c>
      <c r="L8" s="16">
        <v>694475822.33165264</v>
      </c>
      <c r="M8" s="16">
        <v>586799461.77278185</v>
      </c>
    </row>
    <row r="9" spans="1:13" x14ac:dyDescent="0.3">
      <c r="A9">
        <v>7</v>
      </c>
      <c r="B9" t="s">
        <v>237</v>
      </c>
      <c r="C9" t="s">
        <v>230</v>
      </c>
      <c r="D9" t="s">
        <v>230</v>
      </c>
      <c r="E9" s="16">
        <v>-26044791.681380562</v>
      </c>
      <c r="F9" s="16">
        <v>61445073.522971824</v>
      </c>
      <c r="I9" t="s">
        <v>237</v>
      </c>
      <c r="J9" t="s">
        <v>230</v>
      </c>
      <c r="K9" t="s">
        <v>230</v>
      </c>
      <c r="L9" s="16">
        <v>60354487.021967247</v>
      </c>
      <c r="M9" s="16">
        <v>304214181.21453691</v>
      </c>
    </row>
    <row r="10" spans="1:13" x14ac:dyDescent="0.3">
      <c r="A10">
        <v>8</v>
      </c>
      <c r="B10" t="s">
        <v>237</v>
      </c>
      <c r="C10" t="s">
        <v>230</v>
      </c>
      <c r="D10" t="s">
        <v>238</v>
      </c>
      <c r="E10" s="16">
        <v>-56952376.746310048</v>
      </c>
      <c r="F10" s="16">
        <v>134362486.72270107</v>
      </c>
      <c r="I10" t="s">
        <v>237</v>
      </c>
      <c r="J10" t="s">
        <v>230</v>
      </c>
      <c r="K10" t="s">
        <v>238</v>
      </c>
      <c r="L10" s="16">
        <v>70484909.193503082</v>
      </c>
      <c r="M10" s="16">
        <v>355276135.98104298</v>
      </c>
    </row>
    <row r="11" spans="1:13" x14ac:dyDescent="0.3">
      <c r="A11">
        <v>9</v>
      </c>
      <c r="B11" t="s">
        <v>237</v>
      </c>
      <c r="C11" t="s">
        <v>239</v>
      </c>
      <c r="D11" t="s">
        <v>230</v>
      </c>
      <c r="E11" s="16">
        <v>81560632.289222062</v>
      </c>
      <c r="F11" s="16">
        <v>118413610.25177601</v>
      </c>
      <c r="I11" t="s">
        <v>237</v>
      </c>
      <c r="J11" t="s">
        <v>239</v>
      </c>
      <c r="K11" t="s">
        <v>230</v>
      </c>
      <c r="L11" s="16">
        <v>280626006.64713228</v>
      </c>
      <c r="M11" s="16">
        <v>420830478.9162581</v>
      </c>
    </row>
    <row r="12" spans="1:13" x14ac:dyDescent="0.3">
      <c r="A12">
        <v>10</v>
      </c>
      <c r="B12" t="s">
        <v>237</v>
      </c>
      <c r="C12" t="s">
        <v>239</v>
      </c>
      <c r="D12" t="s">
        <v>238</v>
      </c>
      <c r="E12" s="16">
        <v>178349357.31598881</v>
      </c>
      <c r="F12" s="16">
        <v>258936090.77207989</v>
      </c>
      <c r="I12" t="s">
        <v>237</v>
      </c>
      <c r="J12" t="s">
        <v>239</v>
      </c>
      <c r="K12" t="s">
        <v>238</v>
      </c>
      <c r="L12" s="16">
        <v>327728716.98270297</v>
      </c>
      <c r="M12" s="16">
        <v>491466327.62324226</v>
      </c>
    </row>
    <row r="13" spans="1:13" x14ac:dyDescent="0.3">
      <c r="A13">
        <v>11</v>
      </c>
      <c r="B13" t="s">
        <v>237</v>
      </c>
      <c r="C13" t="s">
        <v>238</v>
      </c>
      <c r="D13" t="s">
        <v>230</v>
      </c>
      <c r="E13" s="16">
        <v>156884429.06864393</v>
      </c>
      <c r="F13" s="16">
        <v>158291585.96193895</v>
      </c>
      <c r="I13" t="s">
        <v>237</v>
      </c>
      <c r="J13" t="s">
        <v>238</v>
      </c>
      <c r="K13" t="s">
        <v>230</v>
      </c>
      <c r="L13" s="16">
        <v>434816070.3847478</v>
      </c>
      <c r="M13" s="16">
        <v>502461887.30746299</v>
      </c>
    </row>
    <row r="14" spans="1:13" x14ac:dyDescent="0.3">
      <c r="A14">
        <v>12</v>
      </c>
      <c r="B14" t="s">
        <v>237</v>
      </c>
      <c r="C14" t="s">
        <v>238</v>
      </c>
      <c r="D14" t="s">
        <v>238</v>
      </c>
      <c r="E14" s="16">
        <v>343060571.15959805</v>
      </c>
      <c r="F14" s="16">
        <v>346137613.60664505</v>
      </c>
      <c r="I14" t="s">
        <v>237</v>
      </c>
      <c r="J14" t="s">
        <v>238</v>
      </c>
      <c r="K14" t="s">
        <v>238</v>
      </c>
      <c r="L14" s="16">
        <v>507799382.43514276</v>
      </c>
      <c r="M14" s="16">
        <v>586799461.77278185</v>
      </c>
    </row>
    <row r="16" spans="1:13" x14ac:dyDescent="0.3">
      <c r="B16" s="91" t="s">
        <v>240</v>
      </c>
    </row>
    <row r="17" spans="2:5" x14ac:dyDescent="0.3">
      <c r="B17" s="17">
        <f>AVERAGE(E3:E14)</f>
        <v>131857575.25097536</v>
      </c>
      <c r="C17" t="s">
        <v>241</v>
      </c>
    </row>
    <row r="18" spans="2:5" x14ac:dyDescent="0.3">
      <c r="B18" s="17">
        <f>AVERAGE(F3:F14)</f>
        <v>179597743.4730188</v>
      </c>
      <c r="C18" t="s">
        <v>242</v>
      </c>
    </row>
    <row r="19" spans="2:5" x14ac:dyDescent="0.3">
      <c r="B19" s="17">
        <f>AVERAGE(L3:L14)</f>
        <v>366932311.73220521</v>
      </c>
      <c r="C19" t="s">
        <v>243</v>
      </c>
    </row>
    <row r="20" spans="2:5" x14ac:dyDescent="0.3">
      <c r="B20" s="17">
        <f>AVERAGE(M3:M14)</f>
        <v>443508078.80255413</v>
      </c>
      <c r="C20" t="s">
        <v>244</v>
      </c>
    </row>
    <row r="22" spans="2:5" x14ac:dyDescent="0.3">
      <c r="B22" s="91" t="s">
        <v>245</v>
      </c>
    </row>
    <row r="23" spans="2:5" x14ac:dyDescent="0.3">
      <c r="B23" s="16">
        <f>AVERAGEIF($B$3:$B$14,"Operator",E$3:E$14)</f>
        <v>150905513.60099033</v>
      </c>
      <c r="C23" t="s">
        <v>229</v>
      </c>
      <c r="D23" t="s">
        <v>2</v>
      </c>
      <c r="E23" t="s">
        <v>248</v>
      </c>
    </row>
    <row r="24" spans="2:5" x14ac:dyDescent="0.3">
      <c r="B24" s="16">
        <f>AVERAGEIF($B$3:$B$14,"Utility",E$3:E$14)</f>
        <v>112809636.90096037</v>
      </c>
      <c r="C24" t="s">
        <v>237</v>
      </c>
    </row>
    <row r="25" spans="2:5" x14ac:dyDescent="0.3">
      <c r="B25" s="16">
        <f>AVERAGEIF($B$3:$B$14,"Operator",F$3:F$14)</f>
        <v>179597743.4730188</v>
      </c>
      <c r="C25" t="s">
        <v>229</v>
      </c>
      <c r="D25" t="s">
        <v>2</v>
      </c>
      <c r="E25" t="s">
        <v>249</v>
      </c>
    </row>
    <row r="26" spans="2:5" x14ac:dyDescent="0.3">
      <c r="B26" s="16">
        <f>AVERAGEIF($B$3:$B$14,"Utility",F$3:F$14)</f>
        <v>179597743.4730188</v>
      </c>
      <c r="C26" t="s">
        <v>237</v>
      </c>
    </row>
    <row r="27" spans="2:5" x14ac:dyDescent="0.3">
      <c r="B27" s="16">
        <f>AVERAGEIF($I$3:$I$14,"Operator",L$3:L$14)</f>
        <v>453563028.02021098</v>
      </c>
      <c r="C27" t="s">
        <v>229</v>
      </c>
      <c r="D27" t="s">
        <v>3</v>
      </c>
      <c r="E27" t="s">
        <v>248</v>
      </c>
    </row>
    <row r="28" spans="2:5" x14ac:dyDescent="0.3">
      <c r="B28" s="16">
        <f>AVERAGEIF($I$3:$I$14,"Utility",L$3:L$14)</f>
        <v>280301595.44419938</v>
      </c>
      <c r="C28" t="s">
        <v>237</v>
      </c>
    </row>
    <row r="29" spans="2:5" x14ac:dyDescent="0.3">
      <c r="B29" s="16">
        <f>AVERAGEIF($I$3:$I$14,"Operator",M$3:M$14)</f>
        <v>443508078.80255413</v>
      </c>
      <c r="C29" t="s">
        <v>229</v>
      </c>
      <c r="D29" t="s">
        <v>3</v>
      </c>
      <c r="E29" t="s">
        <v>249</v>
      </c>
    </row>
    <row r="30" spans="2:5" x14ac:dyDescent="0.3">
      <c r="B30" s="16">
        <f>AVERAGEIF($I$3:$I$14,"Utility",M$3:M$14)</f>
        <v>443508078.80255413</v>
      </c>
      <c r="C30" t="s">
        <v>237</v>
      </c>
    </row>
    <row r="32" spans="2:5" x14ac:dyDescent="0.3">
      <c r="B32" s="91" t="s">
        <v>246</v>
      </c>
    </row>
    <row r="33" spans="2:5" x14ac:dyDescent="0.3">
      <c r="B33" s="16">
        <f>AVERAGEIF($C$3:$C$14,"Upper Bound",E$3:E$14)</f>
        <v>-22450645.863830332</v>
      </c>
      <c r="C33" t="s">
        <v>230</v>
      </c>
      <c r="D33" t="s">
        <v>2</v>
      </c>
      <c r="E33" t="s">
        <v>250</v>
      </c>
    </row>
    <row r="34" spans="2:5" x14ac:dyDescent="0.3">
      <c r="B34" s="16">
        <f>AVERAGEIF($C$3:$C$14,"Middle Bound",E$3:E$14)</f>
        <v>149002933.15262043</v>
      </c>
      <c r="C34" t="s">
        <v>239</v>
      </c>
    </row>
    <row r="35" spans="2:5" x14ac:dyDescent="0.3">
      <c r="B35" s="16">
        <f>AVERAGEIF($C$3:$C$14,"Lower Bound",E$3:E$14)</f>
        <v>269020438.464136</v>
      </c>
      <c r="C35" t="s">
        <v>238</v>
      </c>
    </row>
    <row r="36" spans="2:5" x14ac:dyDescent="0.3">
      <c r="B36" s="16">
        <f>AVERAGEIF($C$3:$C$14,"Upper Bound",F$3:F$14)</f>
        <v>97903780.122836441</v>
      </c>
      <c r="C36" t="s">
        <v>230</v>
      </c>
      <c r="D36" t="s">
        <v>2</v>
      </c>
      <c r="E36" t="s">
        <v>249</v>
      </c>
    </row>
    <row r="37" spans="2:5" x14ac:dyDescent="0.3">
      <c r="B37" s="16">
        <f>AVERAGEIF($C$3:$C$14,"Middle Bound",F$3:F$14)</f>
        <v>188674850.51192796</v>
      </c>
      <c r="C37" t="s">
        <v>239</v>
      </c>
    </row>
    <row r="38" spans="2:5" x14ac:dyDescent="0.3">
      <c r="B38" s="16">
        <f>AVERAGEIF($C$3:$C$14,"Lower Bound",F$3:F$14)</f>
        <v>252214599.78429198</v>
      </c>
      <c r="C38" t="s">
        <v>238</v>
      </c>
    </row>
    <row r="39" spans="2:5" x14ac:dyDescent="0.3">
      <c r="B39" s="16">
        <f>AVERAGEIF($J$3:$J$14,"Upper Bound",L$3:L$14)</f>
        <v>152050414.39574105</v>
      </c>
      <c r="C39" t="s">
        <v>230</v>
      </c>
      <c r="D39" t="s">
        <v>3</v>
      </c>
      <c r="E39" t="s">
        <v>250</v>
      </c>
    </row>
    <row r="40" spans="2:5" x14ac:dyDescent="0.3">
      <c r="B40" s="16">
        <f>AVERAGEIF($J$3:$J$14,"Middle Bound",L$3:L$14)</f>
        <v>390808078.10292345</v>
      </c>
      <c r="C40" t="s">
        <v>239</v>
      </c>
    </row>
    <row r="41" spans="2:5" x14ac:dyDescent="0.3">
      <c r="B41" s="16">
        <f>AVERAGEIF($J$3:$J$14,"Lower Bound",L$3:L$14)</f>
        <v>557938442.69795108</v>
      </c>
      <c r="C41" t="s">
        <v>238</v>
      </c>
    </row>
    <row r="42" spans="2:5" x14ac:dyDescent="0.3">
      <c r="B42" s="16">
        <f>AVERAGEIF($J$3:$J$14,"Upper Bound",M$3:M$14)</f>
        <v>329745158.59778994</v>
      </c>
      <c r="C42" t="s">
        <v>230</v>
      </c>
      <c r="D42" t="s">
        <v>3</v>
      </c>
      <c r="E42" t="s">
        <v>249</v>
      </c>
    </row>
    <row r="43" spans="2:5" x14ac:dyDescent="0.3">
      <c r="B43" s="16">
        <f>AVERAGEIF($J$3:$J$14,"Middle Bound",M$3:M$14)</f>
        <v>456148403.26975024</v>
      </c>
      <c r="C43" t="s">
        <v>239</v>
      </c>
    </row>
    <row r="44" spans="2:5" x14ac:dyDescent="0.3">
      <c r="B44" s="16">
        <f>AVERAGEIF($J$3:$J$14,"Lower Bound",M$3:M$14)</f>
        <v>544630674.54012239</v>
      </c>
      <c r="C44" t="s">
        <v>238</v>
      </c>
    </row>
    <row r="45" spans="2:5" x14ac:dyDescent="0.3">
      <c r="B45" s="16"/>
    </row>
    <row r="46" spans="2:5" x14ac:dyDescent="0.3">
      <c r="B46" s="91" t="s">
        <v>247</v>
      </c>
    </row>
    <row r="47" spans="2:5" x14ac:dyDescent="0.3">
      <c r="B47" s="16">
        <f>AVERAGEIF($D$3:$D$14,"Upper Bound",E$3:E$14)</f>
        <v>82754704.626232788</v>
      </c>
      <c r="C47" t="s">
        <v>230</v>
      </c>
      <c r="D47" t="s">
        <v>2</v>
      </c>
      <c r="E47" t="s">
        <v>250</v>
      </c>
    </row>
    <row r="48" spans="2:5" x14ac:dyDescent="0.3">
      <c r="B48" s="16">
        <f>AVERAGEIF($D$3:$D$14,"Lower Bound",E$3:E$14)</f>
        <v>180960445.87571797</v>
      </c>
      <c r="C48" t="s">
        <v>238</v>
      </c>
    </row>
    <row r="49" spans="2:5" x14ac:dyDescent="0.3">
      <c r="B49" s="16">
        <f>AVERAGEIF($D$3:$D$14,"Upper Bound",F$3:F$14)</f>
        <v>112716756.57889561</v>
      </c>
      <c r="C49" t="s">
        <v>230</v>
      </c>
      <c r="D49" t="s">
        <v>2</v>
      </c>
      <c r="E49" t="s">
        <v>249</v>
      </c>
    </row>
    <row r="50" spans="2:5" x14ac:dyDescent="0.3">
      <c r="B50" s="16">
        <f>AVERAGEIF($D$3:$D$14,"Lower Bound",F$3:F$14)</f>
        <v>246478730.36714199</v>
      </c>
      <c r="C50" t="s">
        <v>238</v>
      </c>
    </row>
    <row r="51" spans="2:5" x14ac:dyDescent="0.3">
      <c r="B51" s="16">
        <f>AVERAGEIF($K$3:$K$14,"Upper Bound",L$3:L$14)</f>
        <v>338522067.31237251</v>
      </c>
      <c r="C51" t="s">
        <v>230</v>
      </c>
      <c r="D51" t="s">
        <v>3</v>
      </c>
      <c r="E51" t="s">
        <v>250</v>
      </c>
    </row>
    <row r="52" spans="2:5" x14ac:dyDescent="0.3">
      <c r="B52" s="16">
        <f>AVERAGEIF($K$3:$K$14,"Lower Bound",L$3:L$14)</f>
        <v>395342556.15203786</v>
      </c>
      <c r="C52" t="s">
        <v>238</v>
      </c>
    </row>
    <row r="53" spans="2:5" x14ac:dyDescent="0.3">
      <c r="B53" s="16">
        <f>AVERAGEIF($K$3:$K$14,"Upper Bound",M$3:M$14)</f>
        <v>409168849.14608598</v>
      </c>
      <c r="C53" t="s">
        <v>230</v>
      </c>
      <c r="D53" t="s">
        <v>3</v>
      </c>
      <c r="E53" t="s">
        <v>249</v>
      </c>
    </row>
    <row r="54" spans="2:5" x14ac:dyDescent="0.3">
      <c r="B54" s="16">
        <f>AVERAGEIF($K$3:$K$14,"Lower Bound",M$3:M$14)</f>
        <v>477847308.45902234</v>
      </c>
      <c r="C54" t="s">
        <v>238</v>
      </c>
    </row>
    <row r="56" spans="2:5" x14ac:dyDescent="0.3">
      <c r="B56" s="91" t="s">
        <v>251</v>
      </c>
      <c r="D56" t="s">
        <v>260</v>
      </c>
    </row>
    <row r="57" spans="2:5" x14ac:dyDescent="0.3">
      <c r="B57" s="17">
        <f>B23-$B$17</f>
        <v>19047938.35001497</v>
      </c>
      <c r="C57" t="s">
        <v>252</v>
      </c>
    </row>
    <row r="58" spans="2:5" x14ac:dyDescent="0.3">
      <c r="B58" s="17">
        <f>B24-$B$17</f>
        <v>-19047938.350014985</v>
      </c>
      <c r="C58" t="s">
        <v>253</v>
      </c>
    </row>
    <row r="59" spans="2:5" x14ac:dyDescent="0.3">
      <c r="B59" s="17">
        <f>B25-$B$18</f>
        <v>0</v>
      </c>
      <c r="C59" t="s">
        <v>254</v>
      </c>
    </row>
    <row r="60" spans="2:5" x14ac:dyDescent="0.3">
      <c r="B60" s="17">
        <f>B26-$B$18</f>
        <v>0</v>
      </c>
      <c r="C60" t="s">
        <v>255</v>
      </c>
    </row>
    <row r="61" spans="2:5" x14ac:dyDescent="0.3">
      <c r="B61" s="17">
        <f>B27-$B$19</f>
        <v>86630716.288005769</v>
      </c>
      <c r="C61" t="s">
        <v>256</v>
      </c>
    </row>
    <row r="62" spans="2:5" x14ac:dyDescent="0.3">
      <c r="B62" s="17">
        <f>B28-$B$19</f>
        <v>-86630716.288005829</v>
      </c>
      <c r="C62" t="s">
        <v>257</v>
      </c>
    </row>
    <row r="63" spans="2:5" x14ac:dyDescent="0.3">
      <c r="B63" s="17">
        <f>B29-$B$20</f>
        <v>0</v>
      </c>
      <c r="C63" t="s">
        <v>258</v>
      </c>
    </row>
    <row r="64" spans="2:5" x14ac:dyDescent="0.3">
      <c r="B64" s="17">
        <f>B30-$B$20</f>
        <v>0</v>
      </c>
      <c r="C64" t="s">
        <v>259</v>
      </c>
    </row>
    <row r="65" spans="2:4" x14ac:dyDescent="0.3">
      <c r="D65" t="s">
        <v>261</v>
      </c>
    </row>
    <row r="66" spans="2:4" x14ac:dyDescent="0.3">
      <c r="B66" s="17">
        <f>B33-$B$17</f>
        <v>-154308221.1148057</v>
      </c>
      <c r="C66" t="s">
        <v>262</v>
      </c>
    </row>
    <row r="67" spans="2:4" x14ac:dyDescent="0.3">
      <c r="B67" s="17">
        <f>B34-$B$17</f>
        <v>17145357.901645079</v>
      </c>
      <c r="C67" t="s">
        <v>264</v>
      </c>
    </row>
    <row r="68" spans="2:4" x14ac:dyDescent="0.3">
      <c r="B68" s="17">
        <f>B35-$B$17</f>
        <v>137162863.21316063</v>
      </c>
      <c r="C68" t="s">
        <v>265</v>
      </c>
    </row>
    <row r="69" spans="2:4" x14ac:dyDescent="0.3">
      <c r="B69" s="17">
        <f>B36-$B$18</f>
        <v>-81693963.350182354</v>
      </c>
      <c r="C69" t="s">
        <v>266</v>
      </c>
    </row>
    <row r="70" spans="2:4" x14ac:dyDescent="0.3">
      <c r="B70" s="17">
        <f>B37-$B$18</f>
        <v>9077107.0389091671</v>
      </c>
      <c r="C70" t="s">
        <v>267</v>
      </c>
    </row>
    <row r="71" spans="2:4" x14ac:dyDescent="0.3">
      <c r="B71" s="17">
        <f>B38-$B$18</f>
        <v>72616856.311273187</v>
      </c>
      <c r="C71" t="s">
        <v>268</v>
      </c>
    </row>
    <row r="72" spans="2:4" x14ac:dyDescent="0.3">
      <c r="B72" s="17">
        <f>B39-$B$19</f>
        <v>-214881897.33646417</v>
      </c>
      <c r="C72" t="s">
        <v>269</v>
      </c>
    </row>
    <row r="73" spans="2:4" x14ac:dyDescent="0.3">
      <c r="B73" s="17">
        <f>B40-$B$19</f>
        <v>23875766.370718241</v>
      </c>
      <c r="C73" t="s">
        <v>270</v>
      </c>
    </row>
    <row r="74" spans="2:4" x14ac:dyDescent="0.3">
      <c r="B74" s="17">
        <f>B41-$B$19</f>
        <v>191006130.96574587</v>
      </c>
      <c r="C74" t="s">
        <v>271</v>
      </c>
    </row>
    <row r="75" spans="2:4" x14ac:dyDescent="0.3">
      <c r="B75" s="17">
        <f>B42-$B$20</f>
        <v>-113762920.20476419</v>
      </c>
      <c r="C75" t="s">
        <v>272</v>
      </c>
    </row>
    <row r="76" spans="2:4" x14ac:dyDescent="0.3">
      <c r="B76" s="17">
        <f>B43-$B$20</f>
        <v>12640324.467196107</v>
      </c>
      <c r="C76" t="s">
        <v>273</v>
      </c>
    </row>
    <row r="77" spans="2:4" x14ac:dyDescent="0.3">
      <c r="B77" s="17">
        <f>B44-$B$20</f>
        <v>101122595.73756826</v>
      </c>
      <c r="C77" t="s">
        <v>274</v>
      </c>
    </row>
    <row r="78" spans="2:4" x14ac:dyDescent="0.3">
      <c r="B78" s="17"/>
      <c r="D78" t="s">
        <v>263</v>
      </c>
    </row>
    <row r="79" spans="2:4" x14ac:dyDescent="0.3">
      <c r="B79" s="17">
        <f>B47-$B$17</f>
        <v>-49102870.624742568</v>
      </c>
      <c r="C79" t="s">
        <v>262</v>
      </c>
    </row>
    <row r="80" spans="2:4" x14ac:dyDescent="0.3">
      <c r="B80" s="17">
        <f t="shared" ref="B80" si="0">B48-$B$17</f>
        <v>49102870.624742612</v>
      </c>
      <c r="C80" t="s">
        <v>265</v>
      </c>
    </row>
    <row r="81" spans="2:6" x14ac:dyDescent="0.3">
      <c r="B81" s="17">
        <f>B49-$B$18</f>
        <v>-66880986.894123182</v>
      </c>
      <c r="C81" t="s">
        <v>266</v>
      </c>
    </row>
    <row r="82" spans="2:6" x14ac:dyDescent="0.3">
      <c r="B82" s="17">
        <f>B50-$B$18</f>
        <v>66880986.894123197</v>
      </c>
      <c r="C82" t="s">
        <v>268</v>
      </c>
    </row>
    <row r="83" spans="2:6" x14ac:dyDescent="0.3">
      <c r="B83" s="17">
        <f>B51-$B$19</f>
        <v>-28410244.419832706</v>
      </c>
      <c r="C83" t="s">
        <v>269</v>
      </c>
    </row>
    <row r="84" spans="2:6" x14ac:dyDescent="0.3">
      <c r="B84" s="17">
        <f>B52-$B$19</f>
        <v>28410244.419832647</v>
      </c>
      <c r="C84" t="s">
        <v>271</v>
      </c>
    </row>
    <row r="85" spans="2:6" x14ac:dyDescent="0.3">
      <c r="B85" s="17">
        <f>B53-$B$20</f>
        <v>-34339229.656468153</v>
      </c>
      <c r="C85" t="s">
        <v>272</v>
      </c>
    </row>
    <row r="86" spans="2:6" x14ac:dyDescent="0.3">
      <c r="B86" s="17">
        <f>B54-$B$20</f>
        <v>34339229.656468213</v>
      </c>
      <c r="C86" t="s">
        <v>274</v>
      </c>
    </row>
    <row r="87" spans="2:6" x14ac:dyDescent="0.3">
      <c r="B87" s="17"/>
    </row>
    <row r="88" spans="2:6" x14ac:dyDescent="0.3">
      <c r="B88" t="s">
        <v>276</v>
      </c>
      <c r="C88" t="s">
        <v>277</v>
      </c>
      <c r="D88" t="s">
        <v>278</v>
      </c>
      <c r="E88" t="s">
        <v>279</v>
      </c>
    </row>
    <row r="89" spans="2:6" x14ac:dyDescent="0.3">
      <c r="B89" s="92">
        <f>6*(B57^2+B58^2)</f>
        <v>4353887464631655</v>
      </c>
      <c r="C89" s="92">
        <f>4*(B66^2+B67^2+B68^2)</f>
        <v>1.7167456578409395E+17</v>
      </c>
      <c r="D89" s="92">
        <f>6*(B79^2+B80^2)</f>
        <v>2.8933102843082508E+16</v>
      </c>
      <c r="E89" s="92">
        <f>DEVSQ(E3:E14)</f>
        <v>2.2937260648296474E+17</v>
      </c>
      <c r="F89" t="s">
        <v>275</v>
      </c>
    </row>
    <row r="90" spans="2:6" x14ac:dyDescent="0.3">
      <c r="B90" s="92">
        <f>6*(B59^2+B60^2)</f>
        <v>0</v>
      </c>
      <c r="C90" s="92">
        <f>4*(B69^2+B70^2+B71^2)</f>
        <v>4.8118021362355392E+16</v>
      </c>
      <c r="D90" s="92">
        <f>6*(B81^2+B82^2)</f>
        <v>5.3676796895182536E+16</v>
      </c>
      <c r="E90" s="92">
        <f>DEVSQ(F3:F14)</f>
        <v>1.084676681435703E+17</v>
      </c>
      <c r="F90" t="s">
        <v>280</v>
      </c>
    </row>
    <row r="91" spans="2:6" x14ac:dyDescent="0.3">
      <c r="B91" s="92">
        <f>6*(B61^2+B62^2)</f>
        <v>9.005857205487544E+16</v>
      </c>
      <c r="C91" s="92">
        <f>4*(B72^2+B73^2+B74^2)</f>
        <v>3.3291049635684608E+17</v>
      </c>
      <c r="D91" s="92">
        <f>6*(B83^2+B84^2)</f>
        <v>9685703855935604</v>
      </c>
      <c r="E91" s="92">
        <f>DEVSQ(L3:L14)</f>
        <v>4.3519040666632762E+17</v>
      </c>
      <c r="F91" t="s">
        <v>281</v>
      </c>
    </row>
    <row r="92" spans="2:6" x14ac:dyDescent="0.3">
      <c r="B92">
        <f>6*(B63^2+B64^2)</f>
        <v>0</v>
      </c>
      <c r="C92">
        <f>4*(B75^2+B76^2+B77^2)</f>
        <v>9.33102367394208E+16</v>
      </c>
      <c r="D92">
        <f>6*(B85^2+B86^2)</f>
        <v>1.4150192320795968E+16</v>
      </c>
      <c r="E92">
        <f>DEVSQ(M3:M14)</f>
        <v>1.080198095532467E+17</v>
      </c>
      <c r="F92" t="s">
        <v>282</v>
      </c>
    </row>
    <row r="94" spans="2:6" x14ac:dyDescent="0.3">
      <c r="B94" t="s">
        <v>283</v>
      </c>
      <c r="C94" t="s">
        <v>284</v>
      </c>
      <c r="D94" t="s">
        <v>285</v>
      </c>
      <c r="E94" t="s">
        <v>286</v>
      </c>
    </row>
    <row r="95" spans="2:6" x14ac:dyDescent="0.3">
      <c r="B95" s="82">
        <f>B89/$E89</f>
        <v>1.8981723804734344E-2</v>
      </c>
      <c r="C95" s="82">
        <f>C89/$E89</f>
        <v>0.74845278351425126</v>
      </c>
      <c r="D95" s="82">
        <f>D89/$E89</f>
        <v>0.12614018424746523</v>
      </c>
      <c r="E95" s="82">
        <f>1-B95-C95-D95</f>
        <v>0.10642530843354911</v>
      </c>
      <c r="F95" t="s">
        <v>275</v>
      </c>
    </row>
    <row r="96" spans="2:6" x14ac:dyDescent="0.3">
      <c r="B96" s="82">
        <f>B90/$E90</f>
        <v>0</v>
      </c>
      <c r="C96" s="82">
        <f t="shared" ref="C96:D98" si="1">C90/$E90</f>
        <v>0.44361626082590133</v>
      </c>
      <c r="D96" s="82">
        <f t="shared" si="1"/>
        <v>0.49486448647660325</v>
      </c>
      <c r="E96" s="82">
        <f>1-B96-C96-D96</f>
        <v>6.1519252697495419E-2</v>
      </c>
      <c r="F96" t="s">
        <v>280</v>
      </c>
    </row>
    <row r="97" spans="2:6" x14ac:dyDescent="0.3">
      <c r="B97" s="82">
        <f>B91/$E91</f>
        <v>0.20694061880809292</v>
      </c>
      <c r="C97" s="82">
        <f t="shared" si="1"/>
        <v>0.76497664299869927</v>
      </c>
      <c r="D97" s="82">
        <f t="shared" si="1"/>
        <v>2.2256243951080241E-2</v>
      </c>
      <c r="E97" s="82">
        <f>1-B97-C97-D97</f>
        <v>5.8264942421275938E-3</v>
      </c>
      <c r="F97" t="s">
        <v>281</v>
      </c>
    </row>
    <row r="98" spans="2:6" x14ac:dyDescent="0.3">
      <c r="B98" s="82">
        <f>B92/$E92</f>
        <v>0</v>
      </c>
      <c r="C98" s="82">
        <f>C92/$E92</f>
        <v>0.86382522914396509</v>
      </c>
      <c r="D98" s="82">
        <f t="shared" si="1"/>
        <v>0.13099627169608041</v>
      </c>
      <c r="E98" s="82">
        <f>1-B98-C98-D98</f>
        <v>5.1784991599544972E-3</v>
      </c>
      <c r="F98" t="s">
        <v>282</v>
      </c>
    </row>
  </sheetData>
  <mergeCells count="2">
    <mergeCell ref="B1:F1"/>
    <mergeCell ref="I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8174-A2BC-490F-A404-219E87279D9D}">
  <sheetPr codeName="Sheet8"/>
  <dimension ref="A2:N34"/>
  <sheetViews>
    <sheetView zoomScale="66" workbookViewId="0">
      <selection activeCell="M7" sqref="M7"/>
    </sheetView>
  </sheetViews>
  <sheetFormatPr defaultRowHeight="14.4" x14ac:dyDescent="0.3"/>
  <cols>
    <col min="3" max="3" width="9.88671875" bestFit="1" customWidth="1"/>
    <col min="4" max="4" width="16.77734375" bestFit="1" customWidth="1"/>
    <col min="5" max="5" width="15.109375" bestFit="1" customWidth="1"/>
    <col min="6" max="6" width="16.77734375" bestFit="1" customWidth="1"/>
    <col min="11" max="11" width="15.109375" bestFit="1" customWidth="1"/>
    <col min="12" max="12" width="16.77734375" bestFit="1" customWidth="1"/>
    <col min="13" max="13" width="12.21875" bestFit="1" customWidth="1"/>
    <col min="14" max="14" width="26.33203125" bestFit="1" customWidth="1"/>
  </cols>
  <sheetData>
    <row r="2" spans="1:14" x14ac:dyDescent="0.3">
      <c r="A2" t="s">
        <v>194</v>
      </c>
      <c r="B2" t="s">
        <v>287</v>
      </c>
      <c r="C2" t="s">
        <v>288</v>
      </c>
      <c r="D2" t="s">
        <v>202</v>
      </c>
      <c r="E2" t="s">
        <v>290</v>
      </c>
      <c r="F2" t="s">
        <v>289</v>
      </c>
      <c r="K2" t="s">
        <v>291</v>
      </c>
      <c r="L2" t="s">
        <v>292</v>
      </c>
      <c r="M2" t="s">
        <v>293</v>
      </c>
      <c r="N2" t="s">
        <v>294</v>
      </c>
    </row>
    <row r="3" spans="1:14" x14ac:dyDescent="0.3">
      <c r="A3" t="s">
        <v>2</v>
      </c>
      <c r="B3" t="s">
        <v>237</v>
      </c>
      <c r="C3" s="94">
        <f>Assumptions!$B$127*(1+$F3)</f>
        <v>5.5715000000000008E-2</v>
      </c>
      <c r="D3" s="16">
        <v>-46332224.560793221</v>
      </c>
      <c r="E3" s="16">
        <v>61445073.522971824</v>
      </c>
      <c r="F3" s="93">
        <v>-0.45</v>
      </c>
      <c r="K3" t="s">
        <v>295</v>
      </c>
      <c r="L3" s="16">
        <f>SLOPE(D3:D10, C3:C10)</f>
        <v>478157798.22097105</v>
      </c>
      <c r="M3">
        <f>RSQ(D3:D10, C3:C10)</f>
        <v>0.99930571514626487</v>
      </c>
      <c r="N3" s="17">
        <f>L3* (C5/D5)</f>
        <v>-1.8597724087158773</v>
      </c>
    </row>
    <row r="4" spans="1:14" x14ac:dyDescent="0.3">
      <c r="A4" t="s">
        <v>2</v>
      </c>
      <c r="B4" t="s">
        <v>237</v>
      </c>
      <c r="C4" s="94">
        <f>Assumptions!$B$127*(1+$F4)</f>
        <v>7.5975000000000001E-2</v>
      </c>
      <c r="D4" s="16">
        <v>-37464112.867853045</v>
      </c>
      <c r="E4" s="16">
        <v>61445073.522971824</v>
      </c>
      <c r="F4" s="93">
        <v>-0.25</v>
      </c>
      <c r="K4" t="s">
        <v>296</v>
      </c>
      <c r="L4" s="16">
        <f>SLOPE(D11:D18, C11:C18)</f>
        <v>510346679.87585658</v>
      </c>
      <c r="M4" s="16">
        <f>RSQ(D11:D18, C11:C18)</f>
        <v>0.99899478693458998</v>
      </c>
      <c r="N4" s="17">
        <f>L4* (C13/D13)</f>
        <v>-36.324249820607818</v>
      </c>
    </row>
    <row r="5" spans="1:14" x14ac:dyDescent="0.3">
      <c r="A5" t="s">
        <v>2</v>
      </c>
      <c r="B5" t="s">
        <v>237</v>
      </c>
      <c r="C5" s="94">
        <f>Assumptions!$B$127*(1+$F5)</f>
        <v>0.1013</v>
      </c>
      <c r="D5" s="16">
        <v>-26044791.681380562</v>
      </c>
      <c r="E5" s="16">
        <v>61445073.522971824</v>
      </c>
      <c r="F5" s="93">
        <v>0</v>
      </c>
      <c r="K5" t="s">
        <v>297</v>
      </c>
      <c r="L5" s="16">
        <f>SLOPE(D19:D26, C19:C26)</f>
        <v>1305450825.2774167</v>
      </c>
      <c r="M5">
        <f>RSQ(D19:D26, C19:C26)</f>
        <v>0.99967665252855986</v>
      </c>
      <c r="N5" s="17">
        <f>L5* (C21/D21)</f>
        <v>1.2285682562220936</v>
      </c>
    </row>
    <row r="6" spans="1:14" x14ac:dyDescent="0.3">
      <c r="A6" t="s">
        <v>2</v>
      </c>
      <c r="B6" t="s">
        <v>237</v>
      </c>
      <c r="C6" s="94">
        <f>Assumptions!$B$127*(1+$F6)</f>
        <v>0.12662499999999999</v>
      </c>
      <c r="D6" s="16">
        <v>-14270755.665821955</v>
      </c>
      <c r="E6" s="16">
        <v>61445073.522971824</v>
      </c>
      <c r="F6" s="93">
        <v>0.25</v>
      </c>
      <c r="K6" t="s">
        <v>298</v>
      </c>
      <c r="L6" s="16">
        <f>SLOPE(D27:D34, C27:C34)</f>
        <v>1532654906.6050334</v>
      </c>
      <c r="M6">
        <f>RSQ(D27:D34, C27:C34)</f>
        <v>0.99890943282875311</v>
      </c>
      <c r="N6" s="17">
        <f>L6* (C29/D29)</f>
        <v>1.2110846907537929</v>
      </c>
    </row>
    <row r="7" spans="1:14" x14ac:dyDescent="0.3">
      <c r="A7" t="s">
        <v>2</v>
      </c>
      <c r="B7" t="s">
        <v>237</v>
      </c>
      <c r="C7" s="94">
        <f>Assumptions!$B$127*(1+$F7)</f>
        <v>0.15195</v>
      </c>
      <c r="D7" s="16">
        <v>-2159794.8650582144</v>
      </c>
      <c r="E7" s="16">
        <v>61445073.522971824</v>
      </c>
      <c r="F7" s="93">
        <v>0.5</v>
      </c>
    </row>
    <row r="8" spans="1:14" x14ac:dyDescent="0.3">
      <c r="A8" t="s">
        <v>2</v>
      </c>
      <c r="B8" t="s">
        <v>237</v>
      </c>
      <c r="C8" s="94">
        <f>Assumptions!$B$127*(1+$F8)</f>
        <v>0.17221</v>
      </c>
      <c r="D8" s="16">
        <v>7759695.766373992</v>
      </c>
      <c r="E8" s="16">
        <v>61445073.522971824</v>
      </c>
      <c r="F8" s="93">
        <v>0.7</v>
      </c>
    </row>
    <row r="9" spans="1:14" x14ac:dyDescent="0.3">
      <c r="A9" t="s">
        <v>2</v>
      </c>
      <c r="B9" t="s">
        <v>237</v>
      </c>
      <c r="C9" s="94">
        <f>Assumptions!$B$127*(1+$F9)</f>
        <v>0.2026</v>
      </c>
      <c r="D9" s="16">
        <v>23002619.374716111</v>
      </c>
      <c r="E9" s="16">
        <v>61445073.522971824</v>
      </c>
      <c r="F9" s="93">
        <v>1</v>
      </c>
    </row>
    <row r="10" spans="1:14" x14ac:dyDescent="0.3">
      <c r="A10" t="s">
        <v>2</v>
      </c>
      <c r="B10" t="s">
        <v>237</v>
      </c>
      <c r="C10" s="94">
        <f>Assumptions!$B$127*(1+$F10)</f>
        <v>0.22792499999999999</v>
      </c>
      <c r="D10" s="16">
        <v>36019758.063217103</v>
      </c>
      <c r="E10" s="16">
        <v>61445073.522971824</v>
      </c>
      <c r="F10" s="93">
        <v>1.25</v>
      </c>
    </row>
    <row r="11" spans="1:14" x14ac:dyDescent="0.3">
      <c r="A11" t="s">
        <v>2</v>
      </c>
      <c r="B11" t="s">
        <v>229</v>
      </c>
      <c r="C11" s="94">
        <f>Assumptions!$B$131*(1+$F3)</f>
        <v>8.3600000000000008E-2</v>
      </c>
      <c r="D11" s="16">
        <v>-34064299.657553948</v>
      </c>
      <c r="E11" s="16">
        <v>61445073.522971824</v>
      </c>
    </row>
    <row r="12" spans="1:14" x14ac:dyDescent="0.3">
      <c r="A12" t="s">
        <v>2</v>
      </c>
      <c r="B12" t="s">
        <v>229</v>
      </c>
      <c r="C12" s="94">
        <f>Assumptions!$B$131*(1+$F4)</f>
        <v>0.11399999999999999</v>
      </c>
      <c r="D12" s="16">
        <v>-20183563.564894982</v>
      </c>
      <c r="E12" s="16">
        <v>61445073.522971824</v>
      </c>
    </row>
    <row r="13" spans="1:14" x14ac:dyDescent="0.3">
      <c r="A13" t="s">
        <v>2</v>
      </c>
      <c r="B13" t="s">
        <v>229</v>
      </c>
      <c r="C13" s="94">
        <f>Assumptions!$B$131*(1+$F5)</f>
        <v>0.152</v>
      </c>
      <c r="D13" s="16">
        <v>-2135562.2132386314</v>
      </c>
      <c r="E13" s="16">
        <v>61445073.522971824</v>
      </c>
    </row>
    <row r="14" spans="1:14" x14ac:dyDescent="0.3">
      <c r="A14" t="s">
        <v>2</v>
      </c>
      <c r="B14" t="s">
        <v>229</v>
      </c>
      <c r="C14" s="94">
        <f>Assumptions!$B$131*(1+$F6)</f>
        <v>0.19</v>
      </c>
      <c r="D14" s="16">
        <v>16631288.331229875</v>
      </c>
      <c r="E14" s="16">
        <v>61445073.522971824</v>
      </c>
    </row>
    <row r="15" spans="1:14" x14ac:dyDescent="0.3">
      <c r="A15" t="s">
        <v>2</v>
      </c>
      <c r="B15" t="s">
        <v>229</v>
      </c>
      <c r="C15" s="94">
        <f>Assumptions!$B$131*(1+$F7)</f>
        <v>0.22799999999999998</v>
      </c>
      <c r="D15" s="16">
        <v>36058715.080021679</v>
      </c>
      <c r="E15" s="16">
        <v>61445073.522971824</v>
      </c>
    </row>
    <row r="16" spans="1:14" x14ac:dyDescent="0.3">
      <c r="A16" t="s">
        <v>2</v>
      </c>
      <c r="B16" t="s">
        <v>229</v>
      </c>
      <c r="C16" s="94">
        <f>Assumptions!$B$131*(1+$F8)</f>
        <v>0.25839999999999996</v>
      </c>
      <c r="D16" s="16">
        <v>52038526.96631138</v>
      </c>
      <c r="E16" s="16">
        <v>61445073.522971824</v>
      </c>
    </row>
    <row r="17" spans="1:5" x14ac:dyDescent="0.3">
      <c r="A17" t="s">
        <v>2</v>
      </c>
      <c r="B17" t="s">
        <v>229</v>
      </c>
      <c r="C17" s="94">
        <f>Assumptions!$B$131*(1+$F9)</f>
        <v>0.30399999999999999</v>
      </c>
      <c r="D17" s="16">
        <v>76673993.089379489</v>
      </c>
      <c r="E17" s="16">
        <v>61445073.522971824</v>
      </c>
    </row>
    <row r="18" spans="1:5" x14ac:dyDescent="0.3">
      <c r="A18" t="s">
        <v>2</v>
      </c>
      <c r="B18" t="s">
        <v>229</v>
      </c>
      <c r="C18" s="94">
        <f>Assumptions!$B$131*(1+$F10)</f>
        <v>0.34199999999999997</v>
      </c>
      <c r="D18" s="16">
        <v>97758624.303443342</v>
      </c>
      <c r="E18" s="16">
        <v>61445073.522971824</v>
      </c>
    </row>
    <row r="19" spans="1:5" x14ac:dyDescent="0.3">
      <c r="A19" t="s">
        <v>3</v>
      </c>
      <c r="B19" t="s">
        <v>237</v>
      </c>
      <c r="C19" s="94">
        <f>Assumptions!$B$128*(1+F3)</f>
        <v>3.1240000000000004E-2</v>
      </c>
      <c r="D19" s="16">
        <v>28534214.568997726</v>
      </c>
      <c r="E19" s="16">
        <v>304214181.21453691</v>
      </c>
    </row>
    <row r="20" spans="1:5" x14ac:dyDescent="0.3">
      <c r="A20" t="s">
        <v>3</v>
      </c>
      <c r="B20" t="s">
        <v>237</v>
      </c>
      <c r="C20" s="94">
        <f>Assumptions!$B$128*(1+F4)</f>
        <v>4.2599999999999999E-2</v>
      </c>
      <c r="D20" s="16">
        <v>42530904.182858869</v>
      </c>
      <c r="E20" s="16">
        <v>304214181.21453691</v>
      </c>
    </row>
    <row r="21" spans="1:5" x14ac:dyDescent="0.3">
      <c r="A21" t="s">
        <v>3</v>
      </c>
      <c r="B21" t="s">
        <v>237</v>
      </c>
      <c r="C21" s="94">
        <f>Assumptions!$B$128*(1+F5)</f>
        <v>5.6800000000000003E-2</v>
      </c>
      <c r="D21" s="16">
        <v>60354487.021967247</v>
      </c>
      <c r="E21" s="16">
        <v>304214181.21453691</v>
      </c>
    </row>
    <row r="22" spans="1:5" x14ac:dyDescent="0.3">
      <c r="A22" t="s">
        <v>3</v>
      </c>
      <c r="B22" t="s">
        <v>237</v>
      </c>
      <c r="C22" s="94">
        <f>Assumptions!$B$128*(1+F6)</f>
        <v>7.1000000000000008E-2</v>
      </c>
      <c r="D22" s="16">
        <v>78533804.573592484</v>
      </c>
      <c r="E22" s="16">
        <v>304214181.21453691</v>
      </c>
    </row>
    <row r="23" spans="1:5" x14ac:dyDescent="0.3">
      <c r="A23" t="s">
        <v>3</v>
      </c>
      <c r="B23" t="s">
        <v>237</v>
      </c>
      <c r="C23" s="94">
        <f>Assumptions!$B$128*(1+F7)</f>
        <v>8.5199999999999998E-2</v>
      </c>
      <c r="D23" s="16">
        <v>97059759.336833224</v>
      </c>
      <c r="E23" s="16">
        <v>304214181.21453691</v>
      </c>
    </row>
    <row r="24" spans="1:5" x14ac:dyDescent="0.3">
      <c r="A24" t="s">
        <v>3</v>
      </c>
      <c r="B24" t="s">
        <v>237</v>
      </c>
      <c r="C24" s="94">
        <f>Assumptions!$B$128*(1+F8)</f>
        <v>9.6560000000000007E-2</v>
      </c>
      <c r="D24" s="16">
        <v>112123943.11278537</v>
      </c>
      <c r="E24" s="16">
        <v>304214181.21453691</v>
      </c>
    </row>
    <row r="25" spans="1:5" x14ac:dyDescent="0.3">
      <c r="A25" t="s">
        <v>3</v>
      </c>
      <c r="B25" t="s">
        <v>237</v>
      </c>
      <c r="C25" s="94">
        <f>Assumptions!$B$128*(1+F9)</f>
        <v>0.11360000000000001</v>
      </c>
      <c r="D25" s="16">
        <v>135114874.78332767</v>
      </c>
      <c r="E25" s="16">
        <v>304214181.21453691</v>
      </c>
    </row>
    <row r="26" spans="1:5" x14ac:dyDescent="0.3">
      <c r="A26" t="s">
        <v>3</v>
      </c>
      <c r="B26" t="s">
        <v>237</v>
      </c>
      <c r="C26" s="94">
        <f>Assumptions!$B$128*(1+F10)</f>
        <v>0.1278</v>
      </c>
      <c r="D26" s="16">
        <v>154625619.87894794</v>
      </c>
      <c r="E26" s="16">
        <v>304214181.21453691</v>
      </c>
    </row>
    <row r="27" spans="1:5" x14ac:dyDescent="0.3">
      <c r="A27" t="s">
        <v>3</v>
      </c>
      <c r="B27" t="s">
        <v>229</v>
      </c>
      <c r="C27" s="94">
        <f>Assumptions!$B$132*(1+$F3)</f>
        <v>9.5700000000000007E-2</v>
      </c>
      <c r="D27" s="16">
        <v>110976069.99164271</v>
      </c>
      <c r="E27" s="16">
        <v>304214181.21453691</v>
      </c>
    </row>
    <row r="28" spans="1:5" x14ac:dyDescent="0.3">
      <c r="A28" t="s">
        <v>3</v>
      </c>
      <c r="B28" t="s">
        <v>229</v>
      </c>
      <c r="C28" s="94">
        <f>Assumptions!$B$132*(1+$F4)</f>
        <v>0.1305</v>
      </c>
      <c r="D28" s="16">
        <v>158370749.7564466</v>
      </c>
      <c r="E28" s="16">
        <v>304214181.21453691</v>
      </c>
    </row>
    <row r="29" spans="1:5" x14ac:dyDescent="0.3">
      <c r="A29" t="s">
        <v>3</v>
      </c>
      <c r="B29" t="s">
        <v>229</v>
      </c>
      <c r="C29" s="94">
        <f>Assumptions!$B$132*(1+$F5)</f>
        <v>0.17399999999999999</v>
      </c>
      <c r="D29" s="16">
        <v>220200912.27748069</v>
      </c>
      <c r="E29" s="16">
        <v>304214181.21453691</v>
      </c>
    </row>
    <row r="30" spans="1:5" x14ac:dyDescent="0.3">
      <c r="A30" t="s">
        <v>3</v>
      </c>
      <c r="B30" t="s">
        <v>229</v>
      </c>
      <c r="C30" s="94">
        <f>Assumptions!$B$132*(1+$F6)</f>
        <v>0.21749999999999997</v>
      </c>
      <c r="D30" s="16">
        <v>284663111.17500019</v>
      </c>
      <c r="E30" s="16">
        <v>304214181.21453691</v>
      </c>
    </row>
    <row r="31" spans="1:5" x14ac:dyDescent="0.3">
      <c r="A31" t="s">
        <v>3</v>
      </c>
      <c r="B31" t="s">
        <v>229</v>
      </c>
      <c r="C31" s="94">
        <f>Assumptions!$B$132*(1+$F7)</f>
        <v>0.26100000000000001</v>
      </c>
      <c r="D31" s="16">
        <v>351507199.44197166</v>
      </c>
      <c r="E31" s="16">
        <v>304214181.21453691</v>
      </c>
    </row>
    <row r="32" spans="1:5" x14ac:dyDescent="0.3">
      <c r="A32" t="s">
        <v>3</v>
      </c>
      <c r="B32" t="s">
        <v>229</v>
      </c>
      <c r="C32" s="94">
        <f>Assumptions!$B$132*(1+$F8)</f>
        <v>0.29579999999999995</v>
      </c>
      <c r="D32" s="16">
        <v>406537854.63893872</v>
      </c>
      <c r="E32" s="16">
        <v>304214181.21453691</v>
      </c>
    </row>
    <row r="33" spans="1:5" x14ac:dyDescent="0.3">
      <c r="A33" t="s">
        <v>3</v>
      </c>
      <c r="B33" t="s">
        <v>229</v>
      </c>
      <c r="C33" s="94">
        <f>Assumptions!$B$132*(1+$F9)</f>
        <v>0.34799999999999998</v>
      </c>
      <c r="D33" s="16">
        <v>491410150.7715143</v>
      </c>
      <c r="E33" s="16">
        <v>304214181.21453691</v>
      </c>
    </row>
    <row r="34" spans="1:5" x14ac:dyDescent="0.3">
      <c r="A34" t="s">
        <v>3</v>
      </c>
      <c r="B34" t="s">
        <v>229</v>
      </c>
      <c r="C34" s="94">
        <f>Assumptions!$B$132*(1+$F10)</f>
        <v>0.39149999999999996</v>
      </c>
      <c r="D34" s="16">
        <v>564044519.50131726</v>
      </c>
      <c r="E34" s="16">
        <v>304214181.21453691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74298-D7DB-469F-8C20-9E9AE8499C80}">
  <sheetPr codeName="Sheet11"/>
  <dimension ref="A2:F38"/>
  <sheetViews>
    <sheetView zoomScale="48" workbookViewId="0">
      <selection activeCell="I28" sqref="I28"/>
    </sheetView>
  </sheetViews>
  <sheetFormatPr defaultRowHeight="14.4" x14ac:dyDescent="0.3"/>
  <cols>
    <col min="1" max="1" width="13.44140625" bestFit="1" customWidth="1"/>
    <col min="2" max="2" width="13.6640625" bestFit="1" customWidth="1"/>
    <col min="3" max="3" width="16.21875" bestFit="1" customWidth="1"/>
    <col min="4" max="4" width="17.44140625" bestFit="1" customWidth="1"/>
    <col min="5" max="5" width="20.44140625" bestFit="1" customWidth="1"/>
    <col min="6" max="6" width="10.33203125" bestFit="1" customWidth="1"/>
  </cols>
  <sheetData>
    <row r="2" spans="1:6" x14ac:dyDescent="0.3">
      <c r="A2" t="s">
        <v>194</v>
      </c>
      <c r="B2" t="s">
        <v>234</v>
      </c>
      <c r="C2" t="s">
        <v>322</v>
      </c>
      <c r="D2" t="s">
        <v>323</v>
      </c>
      <c r="E2" t="s">
        <v>324</v>
      </c>
      <c r="F2" t="s">
        <v>325</v>
      </c>
    </row>
    <row r="3" spans="1:6" x14ac:dyDescent="0.3">
      <c r="A3" t="s">
        <v>2</v>
      </c>
      <c r="B3" t="s">
        <v>237</v>
      </c>
      <c r="C3" s="10">
        <v>238526</v>
      </c>
      <c r="D3" s="16">
        <v>-15626860.213831067</v>
      </c>
      <c r="E3" s="16">
        <v>36867009.209311381</v>
      </c>
      <c r="F3">
        <v>0</v>
      </c>
    </row>
    <row r="4" spans="1:6" x14ac:dyDescent="0.3">
      <c r="A4" t="s">
        <v>2</v>
      </c>
      <c r="B4" t="s">
        <v>237</v>
      </c>
      <c r="C4" s="10">
        <v>336613</v>
      </c>
      <c r="D4" s="16">
        <v>-22052959.833134845</v>
      </c>
      <c r="E4" s="16">
        <v>52027513.021531954</v>
      </c>
      <c r="F4">
        <v>0</v>
      </c>
    </row>
    <row r="5" spans="1:6" x14ac:dyDescent="0.3">
      <c r="A5" t="s">
        <v>2</v>
      </c>
      <c r="B5" t="s">
        <v>237</v>
      </c>
      <c r="C5" s="10">
        <f>Assumptions!B118</f>
        <v>397543.70971428556</v>
      </c>
      <c r="D5" s="16">
        <v>-26044791.681380562</v>
      </c>
      <c r="E5" s="16">
        <v>61445073.522971824</v>
      </c>
      <c r="F5">
        <v>1</v>
      </c>
    </row>
    <row r="6" spans="1:6" x14ac:dyDescent="0.3">
      <c r="A6" t="s">
        <v>2</v>
      </c>
      <c r="B6" t="s">
        <v>237</v>
      </c>
      <c r="C6" s="10">
        <v>532787</v>
      </c>
      <c r="D6" s="16">
        <v>-34905159.071742356</v>
      </c>
      <c r="E6" s="16">
        <v>82348520.645973101</v>
      </c>
      <c r="F6">
        <v>0</v>
      </c>
    </row>
    <row r="7" spans="1:6" x14ac:dyDescent="0.3">
      <c r="A7" t="s">
        <v>2</v>
      </c>
      <c r="B7" t="s">
        <v>237</v>
      </c>
      <c r="C7" s="10">
        <v>630873</v>
      </c>
      <c r="D7" s="16">
        <v>-41331193.176761612</v>
      </c>
      <c r="E7" s="16">
        <v>97508869.896388233</v>
      </c>
      <c r="F7">
        <v>0</v>
      </c>
    </row>
    <row r="8" spans="1:6" x14ac:dyDescent="0.3">
      <c r="A8" t="s">
        <v>2</v>
      </c>
      <c r="B8" t="s">
        <v>237</v>
      </c>
      <c r="C8" s="10">
        <v>729000</v>
      </c>
      <c r="D8" s="16">
        <v>-47759913.367443621</v>
      </c>
      <c r="E8" s="16">
        <v>112675556.18082723</v>
      </c>
      <c r="F8">
        <v>0</v>
      </c>
    </row>
    <row r="9" spans="1:6" x14ac:dyDescent="0.3">
      <c r="A9" t="s">
        <v>2</v>
      </c>
      <c r="B9" t="s">
        <v>237</v>
      </c>
      <c r="C9" s="10">
        <v>869312</v>
      </c>
      <c r="D9" s="16">
        <v>-56952353.647845209</v>
      </c>
      <c r="E9" s="16">
        <v>134362432.22862455</v>
      </c>
      <c r="F9">
        <v>1</v>
      </c>
    </row>
    <row r="10" spans="1:6" x14ac:dyDescent="0.3">
      <c r="A10" t="s">
        <v>2</v>
      </c>
      <c r="B10" t="s">
        <v>237</v>
      </c>
      <c r="C10" s="10">
        <v>973120</v>
      </c>
      <c r="D10" s="16">
        <v>-63753260.488514021</v>
      </c>
      <c r="E10" s="16">
        <v>150407184.12988561</v>
      </c>
      <c r="F10">
        <v>0</v>
      </c>
    </row>
    <row r="11" spans="1:6" x14ac:dyDescent="0.3">
      <c r="A11" t="s">
        <v>2</v>
      </c>
      <c r="B11" t="s">
        <v>237</v>
      </c>
      <c r="C11" s="10">
        <v>1095079</v>
      </c>
      <c r="D11" s="16">
        <v>-71743317.106319249</v>
      </c>
      <c r="E11" s="16">
        <v>169257387.36206323</v>
      </c>
      <c r="F11">
        <v>0</v>
      </c>
    </row>
    <row r="12" spans="1:6" x14ac:dyDescent="0.3">
      <c r="A12" t="s">
        <v>2</v>
      </c>
      <c r="B12" t="s">
        <v>237</v>
      </c>
      <c r="C12" s="10">
        <v>1217037</v>
      </c>
      <c r="D12" s="16">
        <v>-79733308.209840134</v>
      </c>
      <c r="E12" s="16">
        <v>188107436.03243545</v>
      </c>
      <c r="F12">
        <v>0</v>
      </c>
    </row>
    <row r="13" spans="1:6" x14ac:dyDescent="0.3">
      <c r="A13" t="s">
        <v>2</v>
      </c>
      <c r="B13" t="s">
        <v>229</v>
      </c>
      <c r="C13" s="10">
        <v>238526</v>
      </c>
      <c r="D13" s="16">
        <v>-1281336.1148162964</v>
      </c>
      <c r="E13" s="16">
        <v>36867009.209311381</v>
      </c>
      <c r="F13">
        <v>0</v>
      </c>
    </row>
    <row r="14" spans="1:6" x14ac:dyDescent="0.3">
      <c r="A14" t="s">
        <v>2</v>
      </c>
      <c r="B14" t="s">
        <v>229</v>
      </c>
      <c r="C14" s="10">
        <v>336613</v>
      </c>
      <c r="D14" s="16">
        <v>-1808248.9691549735</v>
      </c>
      <c r="E14" s="16">
        <v>52027513.021531954</v>
      </c>
      <c r="F14">
        <v>0</v>
      </c>
    </row>
    <row r="15" spans="1:6" x14ac:dyDescent="0.3">
      <c r="A15" t="s">
        <v>2</v>
      </c>
      <c r="B15" t="s">
        <v>229</v>
      </c>
      <c r="C15" s="10">
        <v>397543.70971428556</v>
      </c>
      <c r="D15" s="16">
        <v>-2135562.2132386314</v>
      </c>
      <c r="E15" s="16">
        <v>61445073.522971824</v>
      </c>
      <c r="F15">
        <v>1</v>
      </c>
    </row>
    <row r="16" spans="1:6" x14ac:dyDescent="0.3">
      <c r="A16" t="s">
        <v>2</v>
      </c>
      <c r="B16" t="s">
        <v>229</v>
      </c>
      <c r="C16" s="10">
        <v>532787</v>
      </c>
      <c r="D16" s="16">
        <v>-2862074.6778323082</v>
      </c>
      <c r="E16" s="16">
        <v>82348520.645973101</v>
      </c>
      <c r="F16">
        <v>0</v>
      </c>
    </row>
    <row r="17" spans="1:6" x14ac:dyDescent="0.3">
      <c r="A17" t="s">
        <v>2</v>
      </c>
      <c r="B17" t="s">
        <v>229</v>
      </c>
      <c r="C17" s="10">
        <v>630873</v>
      </c>
      <c r="D17" s="16">
        <v>-3388982.16027808</v>
      </c>
      <c r="E17" s="16">
        <v>97508869.896388233</v>
      </c>
      <c r="F17">
        <v>0</v>
      </c>
    </row>
    <row r="18" spans="1:6" x14ac:dyDescent="0.3">
      <c r="A18" t="s">
        <v>2</v>
      </c>
      <c r="B18" t="s">
        <v>229</v>
      </c>
      <c r="C18" s="10">
        <v>729000</v>
      </c>
      <c r="D18" s="16">
        <v>-3916109.8903309815</v>
      </c>
      <c r="E18" s="16">
        <v>112675556.18082723</v>
      </c>
      <c r="F18">
        <v>0</v>
      </c>
    </row>
    <row r="19" spans="1:6" x14ac:dyDescent="0.3">
      <c r="A19" t="s">
        <v>2</v>
      </c>
      <c r="B19" t="s">
        <v>229</v>
      </c>
      <c r="C19" s="10">
        <v>869312</v>
      </c>
      <c r="D19" s="16">
        <v>-4669850.9204161782</v>
      </c>
      <c r="E19" s="16">
        <v>134362432.22862455</v>
      </c>
      <c r="F19">
        <v>1</v>
      </c>
    </row>
    <row r="20" spans="1:6" x14ac:dyDescent="0.3">
      <c r="A20" t="s">
        <v>2</v>
      </c>
      <c r="B20" t="s">
        <v>229</v>
      </c>
      <c r="C20" s="10">
        <v>973120</v>
      </c>
      <c r="D20" s="16">
        <v>-5227496.3737707268</v>
      </c>
      <c r="E20" s="16">
        <v>150407184.12988561</v>
      </c>
      <c r="F20">
        <v>0</v>
      </c>
    </row>
    <row r="21" spans="1:6" x14ac:dyDescent="0.3">
      <c r="A21" t="s">
        <v>2</v>
      </c>
      <c r="B21" t="s">
        <v>229</v>
      </c>
      <c r="C21" s="10">
        <v>1095079</v>
      </c>
      <c r="D21" s="16">
        <v>-5882647.0543122925</v>
      </c>
      <c r="E21" s="16">
        <v>169257387.36206323</v>
      </c>
      <c r="F21">
        <v>0</v>
      </c>
    </row>
    <row r="22" spans="1:6" x14ac:dyDescent="0.3">
      <c r="A22" t="s">
        <v>2</v>
      </c>
      <c r="B22" t="s">
        <v>229</v>
      </c>
      <c r="C22" s="10">
        <v>1217037</v>
      </c>
      <c r="D22" s="16">
        <v>-6537792.3629612103</v>
      </c>
      <c r="E22" s="16">
        <v>188107436.03243545</v>
      </c>
      <c r="F22">
        <v>0</v>
      </c>
    </row>
    <row r="23" spans="1:6" x14ac:dyDescent="0.3">
      <c r="A23" t="s">
        <v>3</v>
      </c>
      <c r="B23" t="s">
        <v>237</v>
      </c>
      <c r="C23" s="10">
        <v>730948</v>
      </c>
      <c r="D23" s="16">
        <v>36212714.348600037</v>
      </c>
      <c r="E23" s="16">
        <v>182528620.30134773</v>
      </c>
      <c r="F23">
        <v>0</v>
      </c>
    </row>
    <row r="24" spans="1:6" x14ac:dyDescent="0.3">
      <c r="A24" t="s">
        <v>3</v>
      </c>
      <c r="B24" t="s">
        <v>237</v>
      </c>
      <c r="C24" s="10">
        <v>976600</v>
      </c>
      <c r="D24" s="16">
        <v>48382835.486030273</v>
      </c>
      <c r="E24" s="16">
        <v>243871589.47872654</v>
      </c>
      <c r="F24">
        <v>0</v>
      </c>
    </row>
    <row r="25" spans="1:6" x14ac:dyDescent="0.3">
      <c r="A25" t="s">
        <v>3</v>
      </c>
      <c r="B25" t="s">
        <v>237</v>
      </c>
      <c r="C25" s="10">
        <f>Assumptions!C118</f>
        <v>1218245.922</v>
      </c>
      <c r="D25" s="16">
        <v>60354487.021967247</v>
      </c>
      <c r="E25" s="16">
        <v>304214181.21453691</v>
      </c>
      <c r="F25">
        <v>1</v>
      </c>
    </row>
    <row r="26" spans="1:6" x14ac:dyDescent="0.3">
      <c r="A26" t="s">
        <v>3</v>
      </c>
      <c r="B26" t="s">
        <v>237</v>
      </c>
      <c r="C26" s="10">
        <v>1320486</v>
      </c>
      <c r="D26" s="16">
        <v>65419677.34958645</v>
      </c>
      <c r="E26" s="16">
        <v>329745053.96723908</v>
      </c>
      <c r="F26">
        <v>0</v>
      </c>
    </row>
    <row r="27" spans="1:6" x14ac:dyDescent="0.3">
      <c r="A27" t="s">
        <v>3</v>
      </c>
      <c r="B27" t="s">
        <v>237</v>
      </c>
      <c r="C27" s="10">
        <f>Assumptions!C119</f>
        <v>1422726.916</v>
      </c>
      <c r="D27" s="16">
        <v>70484909.193503082</v>
      </c>
      <c r="E27" s="16">
        <v>355276135.98104298</v>
      </c>
      <c r="F27">
        <v>1</v>
      </c>
    </row>
    <row r="28" spans="1:6" x14ac:dyDescent="0.3">
      <c r="A28" t="s">
        <v>3</v>
      </c>
      <c r="B28" t="s">
        <v>237</v>
      </c>
      <c r="C28" s="10">
        <v>1612000</v>
      </c>
      <c r="D28" s="16">
        <v>79861899.245833188</v>
      </c>
      <c r="E28" s="16">
        <v>402540448.74022853</v>
      </c>
      <c r="F28">
        <v>0</v>
      </c>
    </row>
    <row r="29" spans="1:6" x14ac:dyDescent="0.3">
      <c r="A29" t="s">
        <v>3</v>
      </c>
      <c r="B29" t="s">
        <v>237</v>
      </c>
      <c r="C29" s="10">
        <v>1801000</v>
      </c>
      <c r="D29" s="16">
        <v>89225360.137559325</v>
      </c>
      <c r="E29" s="16">
        <v>449736568.35059029</v>
      </c>
      <c r="F29">
        <v>0</v>
      </c>
    </row>
    <row r="30" spans="1:6" x14ac:dyDescent="0.3">
      <c r="A30" t="s">
        <v>3</v>
      </c>
      <c r="B30" t="s">
        <v>237</v>
      </c>
      <c r="C30" s="10">
        <v>1991818</v>
      </c>
      <c r="D30" s="16">
        <v>98678888.605482027</v>
      </c>
      <c r="E30" s="16">
        <v>497386669.68291849</v>
      </c>
      <c r="F30">
        <v>0</v>
      </c>
    </row>
    <row r="31" spans="1:6" x14ac:dyDescent="0.3">
      <c r="A31" t="s">
        <v>3</v>
      </c>
      <c r="B31" t="s">
        <v>229</v>
      </c>
      <c r="C31" s="50">
        <v>730948</v>
      </c>
      <c r="D31" s="16">
        <v>132120628.12667474</v>
      </c>
      <c r="E31" s="16">
        <v>182528620.30134773</v>
      </c>
      <c r="F31">
        <v>0</v>
      </c>
    </row>
    <row r="32" spans="1:6" x14ac:dyDescent="0.3">
      <c r="A32" t="s">
        <v>3</v>
      </c>
      <c r="B32" t="s">
        <v>229</v>
      </c>
      <c r="C32" s="50">
        <v>976600</v>
      </c>
      <c r="D32" s="16">
        <v>176522824.37124193</v>
      </c>
      <c r="E32" s="16">
        <v>243871589.47872654</v>
      </c>
      <c r="F32">
        <v>0</v>
      </c>
    </row>
    <row r="33" spans="1:6" x14ac:dyDescent="0.3">
      <c r="A33" t="s">
        <v>3</v>
      </c>
      <c r="B33" t="s">
        <v>229</v>
      </c>
      <c r="C33" s="50">
        <v>1218245.922</v>
      </c>
      <c r="D33" s="16">
        <v>220200912.27748069</v>
      </c>
      <c r="E33" s="16">
        <v>304214181.21453691</v>
      </c>
      <c r="F33">
        <v>1</v>
      </c>
    </row>
    <row r="34" spans="1:6" x14ac:dyDescent="0.3">
      <c r="A34" t="s">
        <v>3</v>
      </c>
      <c r="B34" t="s">
        <v>229</v>
      </c>
      <c r="C34" s="50">
        <v>1320486</v>
      </c>
      <c r="D34" s="16">
        <v>238681054.94847813</v>
      </c>
      <c r="E34" s="16">
        <v>329745053.96723908</v>
      </c>
      <c r="F34">
        <v>0</v>
      </c>
    </row>
    <row r="35" spans="1:6" x14ac:dyDescent="0.3">
      <c r="A35" t="s">
        <v>3</v>
      </c>
      <c r="B35" t="s">
        <v>229</v>
      </c>
      <c r="C35" s="50">
        <v>1422726.916</v>
      </c>
      <c r="D35" s="16">
        <v>257161349.09001303</v>
      </c>
      <c r="E35" s="16">
        <v>355276135.98104298</v>
      </c>
      <c r="F35">
        <v>1</v>
      </c>
    </row>
    <row r="36" spans="1:6" x14ac:dyDescent="0.3">
      <c r="A36" t="s">
        <v>3</v>
      </c>
      <c r="B36" t="s">
        <v>229</v>
      </c>
      <c r="C36" s="50">
        <v>1612000</v>
      </c>
      <c r="D36" s="16">
        <v>291372919.19561946</v>
      </c>
      <c r="E36" s="16">
        <v>402540448.74022853</v>
      </c>
      <c r="F36">
        <v>0</v>
      </c>
    </row>
    <row r="37" spans="1:6" x14ac:dyDescent="0.3">
      <c r="A37" t="s">
        <v>3</v>
      </c>
      <c r="B37" t="s">
        <v>229</v>
      </c>
      <c r="C37" s="50">
        <v>1801000</v>
      </c>
      <c r="D37" s="16">
        <v>325535128.70428693</v>
      </c>
      <c r="E37" s="16">
        <v>449736568.35059029</v>
      </c>
      <c r="F37">
        <v>0</v>
      </c>
    </row>
    <row r="38" spans="1:6" x14ac:dyDescent="0.3">
      <c r="A38" t="s">
        <v>3</v>
      </c>
      <c r="B38" t="s">
        <v>229</v>
      </c>
      <c r="C38" s="50">
        <v>1991818</v>
      </c>
      <c r="D38" s="16">
        <v>360025946.13299036</v>
      </c>
      <c r="E38" s="16">
        <v>497386669.68291849</v>
      </c>
      <c r="F38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3F817-2B09-4C10-8860-C3F8DAAC7F25}">
  <sheetPr codeName="Sheet12"/>
  <dimension ref="A2:F34"/>
  <sheetViews>
    <sheetView zoomScale="57" workbookViewId="0">
      <selection activeCell="I28" sqref="I28"/>
    </sheetView>
  </sheetViews>
  <sheetFormatPr defaultRowHeight="14.4" x14ac:dyDescent="0.3"/>
  <cols>
    <col min="2" max="2" width="13.6640625" bestFit="1" customWidth="1"/>
    <col min="3" max="3" width="16.21875" bestFit="1" customWidth="1"/>
    <col min="4" max="4" width="13.77734375" bestFit="1" customWidth="1"/>
    <col min="5" max="5" width="15.6640625" bestFit="1" customWidth="1"/>
    <col min="6" max="6" width="10.33203125" bestFit="1" customWidth="1"/>
  </cols>
  <sheetData>
    <row r="2" spans="1:6" x14ac:dyDescent="0.3">
      <c r="A2" t="s">
        <v>194</v>
      </c>
      <c r="B2" t="s">
        <v>234</v>
      </c>
      <c r="C2" t="s">
        <v>326</v>
      </c>
      <c r="D2" t="s">
        <v>323</v>
      </c>
      <c r="E2" t="s">
        <v>324</v>
      </c>
      <c r="F2" t="s">
        <v>325</v>
      </c>
    </row>
    <row r="3" spans="1:6" x14ac:dyDescent="0.3">
      <c r="A3" t="s">
        <v>2</v>
      </c>
      <c r="B3" t="s">
        <v>237</v>
      </c>
      <c r="C3" s="8">
        <v>1.4999999999999999E-2</v>
      </c>
      <c r="D3">
        <v>156884429.06864393</v>
      </c>
      <c r="E3">
        <v>158291585.96193895</v>
      </c>
      <c r="F3">
        <v>1</v>
      </c>
    </row>
    <row r="4" spans="1:6" x14ac:dyDescent="0.3">
      <c r="A4" t="s">
        <v>2</v>
      </c>
      <c r="B4" t="s">
        <v>237</v>
      </c>
      <c r="C4" s="94">
        <v>3.2500000000000001E-2</v>
      </c>
      <c r="D4">
        <v>119222530.67893298</v>
      </c>
      <c r="E4">
        <v>138352598.10685748</v>
      </c>
      <c r="F4">
        <v>0</v>
      </c>
    </row>
    <row r="5" spans="1:6" x14ac:dyDescent="0.3">
      <c r="A5" t="s">
        <v>2</v>
      </c>
      <c r="B5" t="s">
        <v>237</v>
      </c>
      <c r="C5" s="8">
        <v>0.05</v>
      </c>
      <c r="D5">
        <v>81560632.289222062</v>
      </c>
      <c r="E5">
        <v>118413610.25177601</v>
      </c>
      <c r="F5">
        <v>1</v>
      </c>
    </row>
    <row r="6" spans="1:6" x14ac:dyDescent="0.3">
      <c r="A6" t="s">
        <v>2</v>
      </c>
      <c r="B6" t="s">
        <v>237</v>
      </c>
      <c r="C6" s="8">
        <v>7.4999999999999997E-2</v>
      </c>
      <c r="D6">
        <v>27757920.303920805</v>
      </c>
      <c r="E6">
        <v>89929341.887373939</v>
      </c>
      <c r="F6">
        <v>0</v>
      </c>
    </row>
    <row r="7" spans="1:6" x14ac:dyDescent="0.3">
      <c r="A7" t="s">
        <v>2</v>
      </c>
      <c r="B7" t="s">
        <v>237</v>
      </c>
      <c r="C7" s="8">
        <v>0.1</v>
      </c>
      <c r="D7">
        <v>-26044791.681380562</v>
      </c>
      <c r="E7">
        <v>61445073.522971824</v>
      </c>
      <c r="F7">
        <v>1</v>
      </c>
    </row>
    <row r="8" spans="1:6" x14ac:dyDescent="0.3">
      <c r="A8" t="s">
        <v>2</v>
      </c>
      <c r="B8" t="s">
        <v>237</v>
      </c>
      <c r="C8" s="8">
        <v>0.1333</v>
      </c>
      <c r="D8">
        <v>-97710004.045801878</v>
      </c>
      <c r="E8">
        <v>23504028.061588243</v>
      </c>
      <c r="F8">
        <v>0</v>
      </c>
    </row>
    <row r="9" spans="1:6" x14ac:dyDescent="0.3">
      <c r="A9" t="s">
        <v>2</v>
      </c>
      <c r="B9" t="s">
        <v>237</v>
      </c>
      <c r="C9" s="8">
        <v>0.16669999999999999</v>
      </c>
      <c r="D9">
        <v>-169590427.25816432</v>
      </c>
      <c r="E9">
        <v>-14550954.47325292</v>
      </c>
      <c r="F9">
        <v>0</v>
      </c>
    </row>
    <row r="10" spans="1:6" x14ac:dyDescent="0.3">
      <c r="A10" t="s">
        <v>2</v>
      </c>
      <c r="B10" t="s">
        <v>237</v>
      </c>
      <c r="C10" s="8">
        <v>0.2</v>
      </c>
      <c r="D10">
        <v>-241255639.62258586</v>
      </c>
      <c r="E10">
        <v>-52491999.934636571</v>
      </c>
      <c r="F10">
        <v>0</v>
      </c>
    </row>
    <row r="11" spans="1:6" x14ac:dyDescent="0.3">
      <c r="A11" t="s">
        <v>2</v>
      </c>
      <c r="B11" t="s">
        <v>229</v>
      </c>
      <c r="C11" s="8">
        <v>1.4999999999999999E-2</v>
      </c>
      <c r="D11">
        <v>180793658.53678587</v>
      </c>
      <c r="E11">
        <v>158291585.96193895</v>
      </c>
      <c r="F11">
        <v>1</v>
      </c>
    </row>
    <row r="12" spans="1:6" x14ac:dyDescent="0.3">
      <c r="A12" t="s">
        <v>2</v>
      </c>
      <c r="B12" t="s">
        <v>229</v>
      </c>
      <c r="C12" s="94">
        <v>3.2500000000000001E-2</v>
      </c>
      <c r="D12">
        <v>143131760.14707494</v>
      </c>
      <c r="E12">
        <v>138352598.10685748</v>
      </c>
      <c r="F12">
        <v>0</v>
      </c>
    </row>
    <row r="13" spans="1:6" x14ac:dyDescent="0.3">
      <c r="A13" t="s">
        <v>2</v>
      </c>
      <c r="B13" t="s">
        <v>229</v>
      </c>
      <c r="C13" s="8">
        <v>0.05</v>
      </c>
      <c r="D13">
        <v>105469861.757364</v>
      </c>
      <c r="E13">
        <v>118413610.25177601</v>
      </c>
      <c r="F13">
        <v>1</v>
      </c>
    </row>
    <row r="14" spans="1:6" x14ac:dyDescent="0.3">
      <c r="A14" t="s">
        <v>2</v>
      </c>
      <c r="B14" t="s">
        <v>229</v>
      </c>
      <c r="C14" s="8">
        <v>7.4999999999999997E-2</v>
      </c>
      <c r="D14">
        <v>51667149.772062734</v>
      </c>
      <c r="E14">
        <v>89929341.887373939</v>
      </c>
      <c r="F14">
        <v>0</v>
      </c>
    </row>
    <row r="15" spans="1:6" x14ac:dyDescent="0.3">
      <c r="A15" t="s">
        <v>2</v>
      </c>
      <c r="B15" t="s">
        <v>229</v>
      </c>
      <c r="C15" s="8">
        <v>0.1</v>
      </c>
      <c r="D15">
        <v>-2135562.2132386314</v>
      </c>
      <c r="E15">
        <v>61445073.522971824</v>
      </c>
      <c r="F15">
        <v>1</v>
      </c>
    </row>
    <row r="16" spans="1:6" x14ac:dyDescent="0.3">
      <c r="A16" t="s">
        <v>2</v>
      </c>
      <c r="B16" t="s">
        <v>229</v>
      </c>
      <c r="C16" s="8">
        <v>0.1333</v>
      </c>
      <c r="D16">
        <v>-73800774.577659965</v>
      </c>
      <c r="E16">
        <v>23504028.061588243</v>
      </c>
      <c r="F16">
        <v>0</v>
      </c>
    </row>
    <row r="17" spans="1:6" x14ac:dyDescent="0.3">
      <c r="A17" t="s">
        <v>2</v>
      </c>
      <c r="B17" t="s">
        <v>229</v>
      </c>
      <c r="C17" s="8">
        <v>0.16669999999999999</v>
      </c>
      <c r="D17">
        <v>-145681197.7900224</v>
      </c>
      <c r="E17">
        <v>-14550954.47325292</v>
      </c>
      <c r="F17">
        <v>0</v>
      </c>
    </row>
    <row r="18" spans="1:6" x14ac:dyDescent="0.3">
      <c r="A18" t="s">
        <v>2</v>
      </c>
      <c r="B18" t="s">
        <v>229</v>
      </c>
      <c r="C18" s="8">
        <v>0.2</v>
      </c>
      <c r="D18">
        <v>-217346410.15444386</v>
      </c>
      <c r="E18">
        <v>-52491999.934636571</v>
      </c>
      <c r="F18">
        <v>0</v>
      </c>
    </row>
    <row r="19" spans="1:6" x14ac:dyDescent="0.3">
      <c r="A19" t="s">
        <v>3</v>
      </c>
      <c r="B19" t="s">
        <v>237</v>
      </c>
      <c r="C19" s="8">
        <v>1.4999999999999999E-2</v>
      </c>
      <c r="D19">
        <v>434816070.3847478</v>
      </c>
      <c r="E19">
        <v>502461887.30746299</v>
      </c>
      <c r="F19">
        <v>1</v>
      </c>
    </row>
    <row r="20" spans="1:6" x14ac:dyDescent="0.3">
      <c r="A20" t="s">
        <v>3</v>
      </c>
      <c r="B20" t="s">
        <v>237</v>
      </c>
      <c r="C20" s="94">
        <v>3.2500000000000001E-2</v>
      </c>
      <c r="D20">
        <v>357721038.51593995</v>
      </c>
      <c r="E20">
        <v>461646183.11186057</v>
      </c>
      <c r="F20">
        <v>0</v>
      </c>
    </row>
    <row r="21" spans="1:6" x14ac:dyDescent="0.3">
      <c r="A21" t="s">
        <v>3</v>
      </c>
      <c r="B21" t="s">
        <v>237</v>
      </c>
      <c r="C21" s="8">
        <v>0.05</v>
      </c>
      <c r="D21">
        <v>280626006.64713228</v>
      </c>
      <c r="E21">
        <v>420830478.9162581</v>
      </c>
      <c r="F21">
        <v>1</v>
      </c>
    </row>
    <row r="22" spans="1:6" x14ac:dyDescent="0.3">
      <c r="A22" t="s">
        <v>3</v>
      </c>
      <c r="B22" t="s">
        <v>237</v>
      </c>
      <c r="C22" s="8">
        <v>7.4999999999999997E-2</v>
      </c>
      <c r="D22">
        <v>170490246.83454978</v>
      </c>
      <c r="E22">
        <v>362522330.06539738</v>
      </c>
      <c r="F22">
        <v>0</v>
      </c>
    </row>
    <row r="23" spans="1:6" x14ac:dyDescent="0.3">
      <c r="A23" t="s">
        <v>3</v>
      </c>
      <c r="B23" t="s">
        <v>237</v>
      </c>
      <c r="C23" s="8">
        <v>0.1</v>
      </c>
      <c r="D23">
        <v>60354487.021967247</v>
      </c>
      <c r="E23">
        <v>304214181.21453691</v>
      </c>
      <c r="F23">
        <v>1</v>
      </c>
    </row>
    <row r="24" spans="1:6" x14ac:dyDescent="0.3">
      <c r="A24" t="s">
        <v>3</v>
      </c>
      <c r="B24" t="s">
        <v>237</v>
      </c>
      <c r="C24" s="8">
        <v>0.1333</v>
      </c>
      <c r="D24">
        <v>-86346345.048392639</v>
      </c>
      <c r="E24">
        <v>226547726.94519049</v>
      </c>
      <c r="F24">
        <v>0</v>
      </c>
    </row>
    <row r="25" spans="1:6" x14ac:dyDescent="0.3">
      <c r="A25" t="s">
        <v>3</v>
      </c>
      <c r="B25" t="s">
        <v>237</v>
      </c>
      <c r="C25" s="8">
        <v>0.16669999999999999</v>
      </c>
      <c r="D25">
        <v>-233487720.15800279</v>
      </c>
      <c r="E25">
        <v>148648040.08044076</v>
      </c>
      <c r="F25">
        <v>0</v>
      </c>
    </row>
    <row r="26" spans="1:6" x14ac:dyDescent="0.3">
      <c r="A26" t="s">
        <v>3</v>
      </c>
      <c r="B26" t="s">
        <v>237</v>
      </c>
      <c r="C26" s="8">
        <v>0.2</v>
      </c>
      <c r="D26">
        <v>-380188552.22836292</v>
      </c>
      <c r="E26">
        <v>70981585.811094359</v>
      </c>
      <c r="F26">
        <v>0</v>
      </c>
    </row>
    <row r="27" spans="1:6" x14ac:dyDescent="0.3">
      <c r="A27" t="s">
        <v>3</v>
      </c>
      <c r="B27" t="s">
        <v>229</v>
      </c>
      <c r="C27" s="8">
        <v>1.4999999999999999E-2</v>
      </c>
      <c r="D27">
        <v>594662495.64026129</v>
      </c>
      <c r="E27">
        <v>502461887.30746299</v>
      </c>
      <c r="F27">
        <v>1</v>
      </c>
    </row>
    <row r="28" spans="1:6" x14ac:dyDescent="0.3">
      <c r="A28" t="s">
        <v>3</v>
      </c>
      <c r="B28" t="s">
        <v>229</v>
      </c>
      <c r="C28" s="94">
        <v>3.2500000000000001E-2</v>
      </c>
      <c r="D28">
        <v>517567463.77145362</v>
      </c>
      <c r="E28">
        <v>461646183.11186057</v>
      </c>
      <c r="F28">
        <v>0</v>
      </c>
    </row>
    <row r="29" spans="1:6" x14ac:dyDescent="0.3">
      <c r="A29" t="s">
        <v>3</v>
      </c>
      <c r="B29" t="s">
        <v>229</v>
      </c>
      <c r="C29" s="8">
        <v>0.05</v>
      </c>
      <c r="D29">
        <v>440472431.90264577</v>
      </c>
      <c r="E29">
        <v>420830478.9162581</v>
      </c>
      <c r="F29">
        <v>1</v>
      </c>
    </row>
    <row r="30" spans="1:6" x14ac:dyDescent="0.3">
      <c r="A30" t="s">
        <v>3</v>
      </c>
      <c r="B30" t="s">
        <v>229</v>
      </c>
      <c r="C30" s="8">
        <v>7.4999999999999997E-2</v>
      </c>
      <c r="D30">
        <v>330336672.09006327</v>
      </c>
      <c r="E30">
        <v>362522330.06539738</v>
      </c>
      <c r="F30">
        <v>0</v>
      </c>
    </row>
    <row r="31" spans="1:6" x14ac:dyDescent="0.3">
      <c r="A31" t="s">
        <v>3</v>
      </c>
      <c r="B31" t="s">
        <v>229</v>
      </c>
      <c r="C31" s="8">
        <v>0.1</v>
      </c>
      <c r="D31">
        <v>220200912.27748069</v>
      </c>
      <c r="E31">
        <v>304214181.21453691</v>
      </c>
      <c r="F31">
        <v>1</v>
      </c>
    </row>
    <row r="32" spans="1:6" x14ac:dyDescent="0.3">
      <c r="A32" t="s">
        <v>3</v>
      </c>
      <c r="B32" t="s">
        <v>229</v>
      </c>
      <c r="C32" s="8">
        <v>0.1333</v>
      </c>
      <c r="D32">
        <v>73500080.207120836</v>
      </c>
      <c r="E32">
        <v>226547726.94519049</v>
      </c>
      <c r="F32">
        <v>0</v>
      </c>
    </row>
    <row r="33" spans="1:6" x14ac:dyDescent="0.3">
      <c r="A33" t="s">
        <v>3</v>
      </c>
      <c r="B33" t="s">
        <v>229</v>
      </c>
      <c r="C33" s="8">
        <v>0.16669999999999999</v>
      </c>
      <c r="D33">
        <v>-73641294.902489305</v>
      </c>
      <c r="E33">
        <v>148648040.08044076</v>
      </c>
      <c r="F33">
        <v>0</v>
      </c>
    </row>
    <row r="34" spans="1:6" x14ac:dyDescent="0.3">
      <c r="A34" t="s">
        <v>3</v>
      </c>
      <c r="B34" t="s">
        <v>229</v>
      </c>
      <c r="C34" s="8">
        <v>0.2</v>
      </c>
      <c r="D34">
        <v>-220342126.97284934</v>
      </c>
      <c r="E34">
        <v>70981585.811094359</v>
      </c>
      <c r="F34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37D0-9956-47DB-B975-67ACDB656AE9}">
  <sheetPr codeName="Sheet9"/>
  <dimension ref="A1:Q35"/>
  <sheetViews>
    <sheetView zoomScale="50" zoomScaleNormal="60" workbookViewId="0">
      <selection activeCell="H17" sqref="H17"/>
    </sheetView>
  </sheetViews>
  <sheetFormatPr defaultRowHeight="14.4" x14ac:dyDescent="0.3"/>
  <cols>
    <col min="2" max="2" width="13.6640625" bestFit="1" customWidth="1"/>
    <col min="3" max="3" width="13.77734375" bestFit="1" customWidth="1"/>
    <col min="4" max="4" width="14.77734375" bestFit="1" customWidth="1"/>
    <col min="5" max="5" width="12.109375" bestFit="1" customWidth="1"/>
    <col min="6" max="7" width="19.44140625" bestFit="1" customWidth="1"/>
    <col min="8" max="8" width="19" bestFit="1" customWidth="1"/>
    <col min="9" max="9" width="19" customWidth="1"/>
    <col min="10" max="10" width="15.109375" customWidth="1"/>
    <col min="11" max="11" width="32.33203125" bestFit="1" customWidth="1"/>
    <col min="12" max="12" width="19.44140625" bestFit="1" customWidth="1"/>
    <col min="16" max="16" width="32.33203125" bestFit="1" customWidth="1"/>
    <col min="17" max="17" width="19" bestFit="1" customWidth="1"/>
  </cols>
  <sheetData>
    <row r="1" spans="1:17" x14ac:dyDescent="0.3">
      <c r="A1" s="91" t="s">
        <v>287</v>
      </c>
      <c r="B1" s="91" t="s">
        <v>194</v>
      </c>
      <c r="C1" s="91" t="s">
        <v>234</v>
      </c>
      <c r="D1" s="91" t="s">
        <v>235</v>
      </c>
      <c r="E1" s="91" t="s">
        <v>236</v>
      </c>
      <c r="F1" s="91" t="s">
        <v>202</v>
      </c>
      <c r="G1" s="91" t="s">
        <v>199</v>
      </c>
      <c r="H1" s="91" t="s">
        <v>302</v>
      </c>
      <c r="I1" s="91"/>
      <c r="J1" s="91"/>
      <c r="K1" s="91" t="s">
        <v>194</v>
      </c>
      <c r="L1" t="s">
        <v>2</v>
      </c>
      <c r="P1" s="91" t="s">
        <v>194</v>
      </c>
      <c r="Q1" t="s">
        <v>3</v>
      </c>
    </row>
    <row r="2" spans="1:17" x14ac:dyDescent="0.3">
      <c r="A2">
        <v>1</v>
      </c>
      <c r="B2" t="s">
        <v>2</v>
      </c>
      <c r="C2" t="s">
        <v>229</v>
      </c>
      <c r="D2" t="s">
        <v>230</v>
      </c>
      <c r="E2" t="s">
        <v>230</v>
      </c>
      <c r="F2" s="16">
        <v>-9378805.7585687377</v>
      </c>
      <c r="G2" s="16">
        <v>31352026.829039209</v>
      </c>
      <c r="H2" s="16">
        <f>G2-F2</f>
        <v>40730832.58760795</v>
      </c>
      <c r="I2" s="16"/>
      <c r="J2" s="16"/>
      <c r="K2" s="91" t="s">
        <v>234</v>
      </c>
      <c r="L2" t="s">
        <v>229</v>
      </c>
      <c r="P2" s="91" t="s">
        <v>234</v>
      </c>
      <c r="Q2" t="s">
        <v>229</v>
      </c>
    </row>
    <row r="3" spans="1:17" x14ac:dyDescent="0.3">
      <c r="A3">
        <v>2</v>
      </c>
      <c r="B3" t="s">
        <v>2</v>
      </c>
      <c r="C3" t="s">
        <v>229</v>
      </c>
      <c r="D3" t="s">
        <v>230</v>
      </c>
      <c r="E3" t="s">
        <v>238</v>
      </c>
      <c r="F3" s="16">
        <v>-34109235.679847434</v>
      </c>
      <c r="G3" s="16">
        <v>114022371.25719003</v>
      </c>
      <c r="H3" s="16">
        <f t="shared" ref="H3:H25" si="0">G3-F3</f>
        <v>148131606.93703747</v>
      </c>
      <c r="I3" s="16"/>
      <c r="J3" s="16"/>
      <c r="K3" s="91" t="s">
        <v>235</v>
      </c>
      <c r="L3" t="s">
        <v>239</v>
      </c>
      <c r="P3" s="91" t="s">
        <v>235</v>
      </c>
      <c r="Q3" t="s">
        <v>239</v>
      </c>
    </row>
    <row r="4" spans="1:17" x14ac:dyDescent="0.3">
      <c r="A4">
        <v>3</v>
      </c>
      <c r="B4" t="s">
        <v>2</v>
      </c>
      <c r="C4" t="s">
        <v>229</v>
      </c>
      <c r="D4" t="s">
        <v>239</v>
      </c>
      <c r="E4" t="s">
        <v>230</v>
      </c>
      <c r="F4" s="16">
        <v>59368040.614882804</v>
      </c>
      <c r="G4" s="16">
        <v>67748028.983032688</v>
      </c>
      <c r="H4" s="16">
        <f t="shared" si="0"/>
        <v>8379988.368149884</v>
      </c>
      <c r="I4" s="16"/>
      <c r="J4" s="16"/>
      <c r="K4" s="91" t="s">
        <v>301</v>
      </c>
      <c r="L4" t="s">
        <v>238</v>
      </c>
      <c r="P4" s="91" t="s">
        <v>301</v>
      </c>
      <c r="Q4" t="s">
        <v>238</v>
      </c>
    </row>
    <row r="5" spans="1:17" x14ac:dyDescent="0.3">
      <c r="A5">
        <v>4</v>
      </c>
      <c r="B5" t="s">
        <v>2</v>
      </c>
      <c r="C5" t="s">
        <v>229</v>
      </c>
      <c r="D5" t="s">
        <v>239</v>
      </c>
      <c r="E5" t="s">
        <v>238</v>
      </c>
      <c r="F5" s="16">
        <v>215912189.81517908</v>
      </c>
      <c r="G5" s="16">
        <v>246388884.35408217</v>
      </c>
      <c r="H5" s="16">
        <f t="shared" si="0"/>
        <v>30476694.538903087</v>
      </c>
      <c r="I5" s="16"/>
      <c r="J5" s="16"/>
      <c r="K5" s="91" t="s">
        <v>300</v>
      </c>
      <c r="L5" s="16">
        <f>SUMIFS(F2:F25, B2:B25, L1, C2:C25, L2, D2:D25, L3, E2:E25, L4)</f>
        <v>215912189.81517908</v>
      </c>
      <c r="P5" s="91" t="s">
        <v>300</v>
      </c>
      <c r="Q5" s="16">
        <f>SUMIFS(F2:F25, B2:B25, Q1, C2:C25, Q2, D2:D25, Q3, E2:E25, Q4)</f>
        <v>492479381.73105627</v>
      </c>
    </row>
    <row r="6" spans="1:17" x14ac:dyDescent="0.3">
      <c r="A6">
        <v>5</v>
      </c>
      <c r="B6" t="s">
        <v>2</v>
      </c>
      <c r="C6" t="s">
        <v>229</v>
      </c>
      <c r="D6" t="s">
        <v>238</v>
      </c>
      <c r="E6" t="s">
        <v>230</v>
      </c>
      <c r="F6" s="16">
        <v>107490833.07629889</v>
      </c>
      <c r="G6" s="16">
        <v>93225230.490828097</v>
      </c>
      <c r="H6" s="16">
        <f t="shared" si="0"/>
        <v>-14265602.585470796</v>
      </c>
      <c r="I6" s="16"/>
      <c r="J6" s="16"/>
      <c r="K6" s="91" t="s">
        <v>299</v>
      </c>
      <c r="L6" s="16">
        <f>SUMIFS(G2:G25, B2:B25, L1, C2:C25, L2, D2:D25, L3, E2:E25, L4)</f>
        <v>246388884.35408217</v>
      </c>
      <c r="P6" s="91" t="s">
        <v>299</v>
      </c>
      <c r="Q6" s="16">
        <f>SUMIFS(G2:G25, B2:B25, Q1, C2:C25, Q2, D2:D25, Q3, E2:E25, Q4)</f>
        <v>472077429.31930941</v>
      </c>
    </row>
    <row r="7" spans="1:17" x14ac:dyDescent="0.3">
      <c r="A7">
        <v>6</v>
      </c>
      <c r="B7" t="s">
        <v>2</v>
      </c>
      <c r="C7" t="s">
        <v>229</v>
      </c>
      <c r="D7" t="s">
        <v>238</v>
      </c>
      <c r="E7" t="s">
        <v>238</v>
      </c>
      <c r="F7" s="16">
        <v>390927187.66169775</v>
      </c>
      <c r="G7" s="16">
        <v>339045443.52190661</v>
      </c>
      <c r="H7" s="16">
        <f t="shared" si="0"/>
        <v>-51881744.139791131</v>
      </c>
      <c r="I7" s="16"/>
      <c r="J7" s="16"/>
    </row>
    <row r="8" spans="1:17" x14ac:dyDescent="0.3">
      <c r="A8">
        <v>7</v>
      </c>
      <c r="B8" t="s">
        <v>2</v>
      </c>
      <c r="C8" t="s">
        <v>237</v>
      </c>
      <c r="D8" t="s">
        <v>230</v>
      </c>
      <c r="E8" t="s">
        <v>230</v>
      </c>
      <c r="F8" s="16">
        <v>-27116652.430503663</v>
      </c>
      <c r="G8" s="16">
        <v>31352026.829039209</v>
      </c>
      <c r="H8" s="16">
        <f t="shared" si="0"/>
        <v>58468679.259542868</v>
      </c>
      <c r="I8" s="16"/>
      <c r="J8" s="16"/>
    </row>
    <row r="9" spans="1:17" x14ac:dyDescent="0.3">
      <c r="A9">
        <v>8</v>
      </c>
      <c r="B9" t="s">
        <v>2</v>
      </c>
      <c r="C9" t="s">
        <v>237</v>
      </c>
      <c r="D9" t="s">
        <v>230</v>
      </c>
      <c r="E9" t="s">
        <v>238</v>
      </c>
      <c r="F9" s="16">
        <v>-98618983.313042372</v>
      </c>
      <c r="G9" s="16">
        <v>114022371.25719003</v>
      </c>
      <c r="H9" s="16">
        <f t="shared" si="0"/>
        <v>212641354.57023239</v>
      </c>
      <c r="I9" s="16"/>
      <c r="J9" s="16"/>
    </row>
    <row r="10" spans="1:17" x14ac:dyDescent="0.3">
      <c r="A10">
        <v>9</v>
      </c>
      <c r="B10" t="s">
        <v>2</v>
      </c>
      <c r="C10" t="s">
        <v>237</v>
      </c>
      <c r="D10" t="s">
        <v>239</v>
      </c>
      <c r="E10" t="s">
        <v>230</v>
      </c>
      <c r="F10" s="16">
        <v>41630193.942947879</v>
      </c>
      <c r="G10" s="16">
        <v>67748028.983032688</v>
      </c>
      <c r="H10" s="16">
        <f t="shared" si="0"/>
        <v>26117835.040084809</v>
      </c>
      <c r="I10" s="16"/>
      <c r="J10" s="16"/>
    </row>
    <row r="11" spans="1:17" x14ac:dyDescent="0.3">
      <c r="A11">
        <v>10</v>
      </c>
      <c r="B11" t="s">
        <v>2</v>
      </c>
      <c r="C11" t="s">
        <v>237</v>
      </c>
      <c r="D11" t="s">
        <v>239</v>
      </c>
      <c r="E11" t="s">
        <v>238</v>
      </c>
      <c r="F11" s="16">
        <v>151402442.18198419</v>
      </c>
      <c r="G11" s="16">
        <v>246388884.35408217</v>
      </c>
      <c r="H11" s="16">
        <f t="shared" si="0"/>
        <v>94986442.172097981</v>
      </c>
      <c r="I11" s="16"/>
      <c r="J11" s="16"/>
    </row>
    <row r="12" spans="1:17" x14ac:dyDescent="0.3">
      <c r="A12">
        <v>11</v>
      </c>
      <c r="B12" t="s">
        <v>2</v>
      </c>
      <c r="C12" t="s">
        <v>237</v>
      </c>
      <c r="D12" t="s">
        <v>238</v>
      </c>
      <c r="E12" t="s">
        <v>230</v>
      </c>
      <c r="F12" s="16">
        <v>89752986.404363945</v>
      </c>
      <c r="G12" s="16">
        <v>93225230.490828097</v>
      </c>
      <c r="H12" s="16">
        <f t="shared" si="0"/>
        <v>3472244.0864641517</v>
      </c>
      <c r="I12" s="16"/>
      <c r="J12" s="16"/>
    </row>
    <row r="13" spans="1:17" x14ac:dyDescent="0.3">
      <c r="A13">
        <v>12</v>
      </c>
      <c r="B13" t="s">
        <v>2</v>
      </c>
      <c r="C13" t="s">
        <v>237</v>
      </c>
      <c r="D13" t="s">
        <v>238</v>
      </c>
      <c r="E13" t="s">
        <v>238</v>
      </c>
      <c r="F13" s="16">
        <v>326417440.02850276</v>
      </c>
      <c r="G13" s="16">
        <v>339045443.52190661</v>
      </c>
      <c r="H13" s="16">
        <f t="shared" si="0"/>
        <v>12628003.493403852</v>
      </c>
      <c r="I13" s="16"/>
      <c r="J13" s="16"/>
    </row>
    <row r="14" spans="1:17" x14ac:dyDescent="0.3">
      <c r="A14">
        <v>1</v>
      </c>
      <c r="B14" t="s">
        <v>3</v>
      </c>
      <c r="C14" t="s">
        <v>229</v>
      </c>
      <c r="D14" t="s">
        <v>230</v>
      </c>
      <c r="E14" t="s">
        <v>230</v>
      </c>
      <c r="F14" s="16">
        <v>127381357.57923383</v>
      </c>
      <c r="G14" s="16">
        <v>193648557.23124439</v>
      </c>
      <c r="H14" s="16">
        <f t="shared" si="0"/>
        <v>66267199.65201056</v>
      </c>
      <c r="I14" s="16"/>
      <c r="J14" s="16"/>
    </row>
    <row r="15" spans="1:17" x14ac:dyDescent="0.3">
      <c r="A15">
        <v>2</v>
      </c>
      <c r="B15" t="s">
        <v>3</v>
      </c>
      <c r="C15" t="s">
        <v>229</v>
      </c>
      <c r="D15" t="s">
        <v>230</v>
      </c>
      <c r="E15" t="s">
        <v>238</v>
      </c>
      <c r="F15" s="16">
        <v>213309798.7937001</v>
      </c>
      <c r="G15" s="16">
        <v>324279278.88893127</v>
      </c>
      <c r="H15" s="16">
        <f t="shared" si="0"/>
        <v>110969480.09523118</v>
      </c>
      <c r="I15" s="16"/>
      <c r="J15" s="16"/>
    </row>
    <row r="16" spans="1:17" x14ac:dyDescent="0.3">
      <c r="A16">
        <v>3</v>
      </c>
      <c r="B16" t="s">
        <v>3</v>
      </c>
      <c r="C16" t="s">
        <v>229</v>
      </c>
      <c r="D16" t="s">
        <v>239</v>
      </c>
      <c r="E16" t="s">
        <v>230</v>
      </c>
      <c r="F16" s="16">
        <v>294091938.48312062</v>
      </c>
      <c r="G16" s="16">
        <v>281908586.33440542</v>
      </c>
      <c r="H16" s="16">
        <f t="shared" si="0"/>
        <v>-12183352.148715198</v>
      </c>
      <c r="I16" s="16"/>
      <c r="J16" s="16"/>
    </row>
    <row r="17" spans="1:17" x14ac:dyDescent="0.3">
      <c r="A17">
        <v>4</v>
      </c>
      <c r="B17" t="s">
        <v>3</v>
      </c>
      <c r="C17" t="s">
        <v>229</v>
      </c>
      <c r="D17" t="s">
        <v>239</v>
      </c>
      <c r="E17" t="s">
        <v>238</v>
      </c>
      <c r="F17" s="16">
        <v>492479381.73105627</v>
      </c>
      <c r="G17" s="16">
        <v>472077429.31930941</v>
      </c>
      <c r="H17" s="16">
        <f t="shared" si="0"/>
        <v>-20401952.41174686</v>
      </c>
      <c r="I17" s="16"/>
      <c r="J17" s="16"/>
    </row>
    <row r="18" spans="1:17" x14ac:dyDescent="0.3">
      <c r="A18">
        <v>5</v>
      </c>
      <c r="B18" t="s">
        <v>3</v>
      </c>
      <c r="C18" t="s">
        <v>229</v>
      </c>
      <c r="D18" t="s">
        <v>238</v>
      </c>
      <c r="E18" t="s">
        <v>230</v>
      </c>
      <c r="F18" s="16">
        <v>410789345.11584157</v>
      </c>
      <c r="G18" s="16">
        <v>343690606.70661807</v>
      </c>
      <c r="H18" s="16">
        <f t="shared" si="0"/>
        <v>-67098738.409223497</v>
      </c>
      <c r="I18" s="16"/>
      <c r="J18" s="16"/>
    </row>
    <row r="19" spans="1:17" x14ac:dyDescent="0.3">
      <c r="A19">
        <v>6</v>
      </c>
      <c r="B19" t="s">
        <v>3</v>
      </c>
      <c r="C19" t="s">
        <v>229</v>
      </c>
      <c r="D19" t="s">
        <v>238</v>
      </c>
      <c r="E19" t="s">
        <v>238</v>
      </c>
      <c r="F19" s="16">
        <v>687898089.7872057</v>
      </c>
      <c r="G19" s="16">
        <v>575536134.62057388</v>
      </c>
      <c r="H19" s="16">
        <f t="shared" si="0"/>
        <v>-112361955.16663182</v>
      </c>
      <c r="I19" s="16"/>
      <c r="J19" s="16"/>
    </row>
    <row r="20" spans="1:17" x14ac:dyDescent="0.3">
      <c r="A20">
        <v>7</v>
      </c>
      <c r="B20" t="s">
        <v>3</v>
      </c>
      <c r="C20" t="s">
        <v>237</v>
      </c>
      <c r="D20" t="s">
        <v>230</v>
      </c>
      <c r="E20" t="s">
        <v>230</v>
      </c>
      <c r="F20" s="16">
        <v>15904536.183544733</v>
      </c>
      <c r="G20" s="16">
        <v>193648557.23124439</v>
      </c>
      <c r="H20" s="16">
        <f t="shared" si="0"/>
        <v>177744021.04769966</v>
      </c>
      <c r="I20" s="16"/>
      <c r="J20" s="16"/>
    </row>
    <row r="21" spans="1:17" x14ac:dyDescent="0.3">
      <c r="A21">
        <v>8</v>
      </c>
      <c r="B21" t="s">
        <v>3</v>
      </c>
      <c r="C21" t="s">
        <v>237</v>
      </c>
      <c r="D21" t="s">
        <v>230</v>
      </c>
      <c r="E21" t="s">
        <v>238</v>
      </c>
      <c r="F21" s="16">
        <v>26633358.897190157</v>
      </c>
      <c r="G21" s="16">
        <v>324279278.88893127</v>
      </c>
      <c r="H21" s="16">
        <f t="shared" si="0"/>
        <v>297645919.99174112</v>
      </c>
      <c r="I21" s="16"/>
      <c r="J21" s="16"/>
    </row>
    <row r="22" spans="1:17" x14ac:dyDescent="0.3">
      <c r="A22">
        <v>9</v>
      </c>
      <c r="B22" t="s">
        <v>3</v>
      </c>
      <c r="C22" t="s">
        <v>237</v>
      </c>
      <c r="D22" t="s">
        <v>239</v>
      </c>
      <c r="E22" t="s">
        <v>230</v>
      </c>
      <c r="F22" s="16">
        <v>182615117.08743161</v>
      </c>
      <c r="G22" s="16">
        <v>281908586.33440542</v>
      </c>
      <c r="H22" s="16">
        <f t="shared" si="0"/>
        <v>99293469.246973813</v>
      </c>
      <c r="I22" s="16"/>
      <c r="J22" s="16"/>
    </row>
    <row r="23" spans="1:17" x14ac:dyDescent="0.3">
      <c r="A23">
        <v>10</v>
      </c>
      <c r="B23" t="s">
        <v>3</v>
      </c>
      <c r="C23" t="s">
        <v>237</v>
      </c>
      <c r="D23" t="s">
        <v>239</v>
      </c>
      <c r="E23" t="s">
        <v>238</v>
      </c>
      <c r="F23" s="16">
        <v>305802941.83454645</v>
      </c>
      <c r="G23" s="16">
        <v>472077429.31930941</v>
      </c>
      <c r="H23" s="16">
        <f t="shared" si="0"/>
        <v>166274487.48476297</v>
      </c>
      <c r="I23" s="16"/>
      <c r="J23" s="16"/>
    </row>
    <row r="24" spans="1:17" x14ac:dyDescent="0.3">
      <c r="A24">
        <v>11</v>
      </c>
      <c r="B24" t="s">
        <v>3</v>
      </c>
      <c r="C24" t="s">
        <v>237</v>
      </c>
      <c r="D24" t="s">
        <v>238</v>
      </c>
      <c r="E24" t="s">
        <v>230</v>
      </c>
      <c r="F24" s="16">
        <v>299312523.72015238</v>
      </c>
      <c r="G24" s="16">
        <v>343690606.70661807</v>
      </c>
      <c r="H24" s="16">
        <f t="shared" si="0"/>
        <v>44378082.986465693</v>
      </c>
      <c r="I24" s="16"/>
      <c r="J24" s="16"/>
    </row>
    <row r="25" spans="1:17" x14ac:dyDescent="0.3">
      <c r="A25">
        <v>12</v>
      </c>
      <c r="B25" t="s">
        <v>3</v>
      </c>
      <c r="C25" t="s">
        <v>237</v>
      </c>
      <c r="D25" t="s">
        <v>238</v>
      </c>
      <c r="E25" t="s">
        <v>238</v>
      </c>
      <c r="F25" s="16">
        <v>501221649.89069575</v>
      </c>
      <c r="G25" s="16">
        <v>575536134.62057388</v>
      </c>
      <c r="H25" s="16">
        <f t="shared" si="0"/>
        <v>74314484.729878128</v>
      </c>
      <c r="I25" s="16"/>
      <c r="J25" s="16"/>
    </row>
    <row r="29" spans="1:17" x14ac:dyDescent="0.3">
      <c r="K29" s="91" t="s">
        <v>194</v>
      </c>
      <c r="L29" t="s">
        <v>2</v>
      </c>
      <c r="P29" s="91" t="s">
        <v>194</v>
      </c>
      <c r="Q29" t="s">
        <v>3</v>
      </c>
    </row>
    <row r="30" spans="1:17" x14ac:dyDescent="0.3">
      <c r="K30" s="91" t="s">
        <v>235</v>
      </c>
      <c r="L30" t="s">
        <v>230</v>
      </c>
      <c r="P30" s="91" t="s">
        <v>235</v>
      </c>
      <c r="Q30" t="s">
        <v>230</v>
      </c>
    </row>
    <row r="31" spans="1:17" x14ac:dyDescent="0.3">
      <c r="K31" s="91" t="s">
        <v>301</v>
      </c>
      <c r="L31" t="s">
        <v>230</v>
      </c>
      <c r="P31" s="91" t="s">
        <v>301</v>
      </c>
      <c r="Q31" t="s">
        <v>230</v>
      </c>
    </row>
    <row r="32" spans="1:17" x14ac:dyDescent="0.3">
      <c r="K32" s="91" t="s">
        <v>303</v>
      </c>
      <c r="L32" s="16">
        <f>SUMIFS($F$2:$F$25, $B$2:$B$25, $L$29, $C$2:$C$25, "Utility", $D$2:$D$25, $L$30, $E$2:$E$25, $L$31)</f>
        <v>-27116652.430503663</v>
      </c>
      <c r="P32" s="91" t="s">
        <v>303</v>
      </c>
      <c r="Q32" s="16">
        <f>SUMIFS($F$2:$F$25, $B$2:$B$25, $Q$29, $C$2:$C$25, "Utility", $D$2:$D$25, $Q$30, $E$2:$E$25, $Q$31)</f>
        <v>15904536.183544733</v>
      </c>
    </row>
    <row r="33" spans="11:17" x14ac:dyDescent="0.3">
      <c r="K33" s="91" t="s">
        <v>304</v>
      </c>
      <c r="L33" s="16">
        <f>SUMIFS($F$2:$F$25, $B$2:$B$25, $L$29, $C$2:$C$25, "Operator", $D$2:$D$25, $L$30, $E$2:$E$25, $L$31)</f>
        <v>-9378805.7585687377</v>
      </c>
      <c r="P33" s="91" t="s">
        <v>304</v>
      </c>
      <c r="Q33" s="16">
        <f>SUMIFS($F$2:$F$25, $B$2:$B$25, $Q$29, $C$2:$C$25, "Operator", $D$2:$D$25, $Q$30, $E$2:$E$25, $Q$31)</f>
        <v>127381357.57923383</v>
      </c>
    </row>
    <row r="34" spans="11:17" x14ac:dyDescent="0.3">
      <c r="K34" s="91" t="s">
        <v>299</v>
      </c>
      <c r="L34" s="16">
        <f>SUMIFS($G$2:$G$25, $B$2:$B$25, $L$29, $C$2:$C$25, "Utility", $D$2:$D$25, $L$30, $E$2:$E$25, $L$31)</f>
        <v>31352026.829039209</v>
      </c>
      <c r="P34" s="91" t="s">
        <v>299</v>
      </c>
      <c r="Q34" s="16">
        <f>SUMIFS($G$2:$G$25, $B$2:$B$25, $Q$29, $C$2:$C$25, "Utility", $D$2:$D$25, $Q$30, $E$2:$E$25, $Q$31)</f>
        <v>193648557.23124439</v>
      </c>
    </row>
    <row r="35" spans="11:17" x14ac:dyDescent="0.3">
      <c r="K35" s="91"/>
    </row>
  </sheetData>
  <conditionalFormatting sqref="H1:J25">
    <cfRule type="cellIs" dxfId="0" priority="1" operator="lessThan">
      <formula>0</formula>
    </cfRule>
  </conditionalFormatting>
  <dataValidations count="4">
    <dataValidation type="list" allowBlank="1" showInputMessage="1" showErrorMessage="1" sqref="L1 Q1 L29 Q29" xr:uid="{D34D9C36-DFE1-467E-8820-90D6EB362B2F}">
      <formula1>"Kenya, Zambia"</formula1>
    </dataValidation>
    <dataValidation type="list" allowBlank="1" showInputMessage="1" showErrorMessage="1" sqref="L2 Q2" xr:uid="{0B34188F-6708-4786-AD25-12DDBEBC7A45}">
      <formula1>"Utility,Operator"</formula1>
    </dataValidation>
    <dataValidation type="list" allowBlank="1" showInputMessage="1" showErrorMessage="1" sqref="L3 Q3 L30 Q30" xr:uid="{0A7E5823-492D-4985-8372-89B243020408}">
      <formula1>"Upper Bound, Middle Bound, Lower Bound"</formula1>
    </dataValidation>
    <dataValidation type="list" allowBlank="1" showInputMessage="1" showErrorMessage="1" sqref="L4 Q4 L31 Q31" xr:uid="{EF120379-431A-448B-97C0-D8516E0A5A85}">
      <formula1>"Upper Bound, Lower Bound"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FA92-8C88-439D-AF07-B93A69C50D86}">
  <sheetPr codeName="Sheet10"/>
  <dimension ref="A1:I35"/>
  <sheetViews>
    <sheetView zoomScale="68" workbookViewId="0">
      <selection activeCell="I47" sqref="I47"/>
    </sheetView>
  </sheetViews>
  <sheetFormatPr defaultRowHeight="14.4" x14ac:dyDescent="0.3"/>
  <cols>
    <col min="1" max="1" width="40.77734375" bestFit="1" customWidth="1"/>
    <col min="2" max="9" width="16.6640625" bestFit="1" customWidth="1"/>
  </cols>
  <sheetData>
    <row r="1" spans="1:9" x14ac:dyDescent="0.3">
      <c r="A1" s="91" t="s">
        <v>310</v>
      </c>
    </row>
    <row r="2" spans="1:9" x14ac:dyDescent="0.3">
      <c r="A2" t="s">
        <v>305</v>
      </c>
      <c r="B2" s="93">
        <f>WACC_sensitivity!F3</f>
        <v>-0.45</v>
      </c>
      <c r="C2" s="93">
        <f>WACC_sensitivity!F4</f>
        <v>-0.25</v>
      </c>
      <c r="D2" s="93">
        <f>WACC_sensitivity!F5</f>
        <v>0</v>
      </c>
      <c r="E2" s="93">
        <f>WACC_sensitivity!F6</f>
        <v>0.25</v>
      </c>
      <c r="F2" s="93">
        <f>WACC_sensitivity!F7</f>
        <v>0.5</v>
      </c>
      <c r="G2" s="93">
        <f>WACC_sensitivity!F8</f>
        <v>0.7</v>
      </c>
      <c r="H2" s="93">
        <f>WACC_sensitivity!F9</f>
        <v>1</v>
      </c>
      <c r="I2" s="93">
        <f>WACC_sensitivity!F10</f>
        <v>1.25</v>
      </c>
    </row>
    <row r="3" spans="1:9" x14ac:dyDescent="0.3">
      <c r="A3" t="s">
        <v>306</v>
      </c>
      <c r="B3" s="17">
        <f>WACC_sensitivity!D3</f>
        <v>-46332224.560793221</v>
      </c>
      <c r="C3" s="17">
        <f>WACC_sensitivity!D4</f>
        <v>-37464112.867853045</v>
      </c>
      <c r="D3" s="17">
        <f>WACC_sensitivity!D5</f>
        <v>-26044791.681380562</v>
      </c>
      <c r="E3" s="17">
        <f>WACC_sensitivity!D6</f>
        <v>-14270755.665821955</v>
      </c>
      <c r="F3" s="17">
        <f>WACC_sensitivity!D7</f>
        <v>-2159794.8650582144</v>
      </c>
      <c r="G3" s="17">
        <f>WACC_sensitivity!D8</f>
        <v>7759695.766373992</v>
      </c>
      <c r="H3" s="17">
        <f>WACC_sensitivity!D9</f>
        <v>23002619.374716111</v>
      </c>
      <c r="I3" s="17">
        <f>WACC_sensitivity!D10</f>
        <v>36019758.063217103</v>
      </c>
    </row>
    <row r="4" spans="1:9" x14ac:dyDescent="0.3">
      <c r="A4" t="s">
        <v>307</v>
      </c>
      <c r="B4" s="17">
        <f>WACC_sensitivity!D11</f>
        <v>-34064299.657553948</v>
      </c>
      <c r="C4" s="17">
        <f>WACC_sensitivity!D12</f>
        <v>-20183563.564894982</v>
      </c>
      <c r="D4" s="17">
        <f>WACC_sensitivity!D13</f>
        <v>-2135562.2132386314</v>
      </c>
      <c r="E4" s="17">
        <f>WACC_sensitivity!D14</f>
        <v>16631288.331229875</v>
      </c>
      <c r="F4" s="17">
        <f>WACC_sensitivity!D15</f>
        <v>36058715.080021679</v>
      </c>
      <c r="G4" s="17">
        <f>WACC_sensitivity!D16</f>
        <v>52038526.96631138</v>
      </c>
      <c r="H4" s="17">
        <f>WACC_sensitivity!D17</f>
        <v>76673993.089379489</v>
      </c>
      <c r="I4" s="17">
        <f>WACC_sensitivity!D18</f>
        <v>97758624.303443342</v>
      </c>
    </row>
    <row r="5" spans="1:9" x14ac:dyDescent="0.3">
      <c r="A5" t="s">
        <v>308</v>
      </c>
      <c r="B5" s="17">
        <f>WACC_sensitivity!D19</f>
        <v>28534214.568997726</v>
      </c>
      <c r="C5" s="17">
        <f>WACC_sensitivity!D20</f>
        <v>42530904.182858869</v>
      </c>
      <c r="D5" s="17">
        <f>WACC_sensitivity!D21</f>
        <v>60354487.021967247</v>
      </c>
      <c r="E5" s="17">
        <f>WACC_sensitivity!D22</f>
        <v>78533804.573592484</v>
      </c>
      <c r="F5" s="17">
        <f>WACC_sensitivity!D23</f>
        <v>97059759.336833224</v>
      </c>
      <c r="G5" s="17">
        <f>WACC_sensitivity!D24</f>
        <v>112123943.11278537</v>
      </c>
      <c r="H5" s="17">
        <f>WACC_sensitivity!D25</f>
        <v>135114874.78332767</v>
      </c>
      <c r="I5" s="17">
        <f>WACC_sensitivity!D26</f>
        <v>154625619.87894794</v>
      </c>
    </row>
    <row r="6" spans="1:9" x14ac:dyDescent="0.3">
      <c r="A6" t="s">
        <v>309</v>
      </c>
      <c r="B6" s="17">
        <f>WACC_sensitivity!D27</f>
        <v>110976069.99164271</v>
      </c>
      <c r="C6" s="17">
        <f>WACC_sensitivity!D28</f>
        <v>158370749.7564466</v>
      </c>
      <c r="D6" s="17">
        <f>WACC_sensitivity!D29</f>
        <v>220200912.27748069</v>
      </c>
      <c r="E6" s="17">
        <f>WACC_sensitivity!D30</f>
        <v>284663111.17500019</v>
      </c>
      <c r="F6" s="17">
        <f>WACC_sensitivity!D31</f>
        <v>351507199.44197166</v>
      </c>
      <c r="G6" s="17">
        <f>WACC_sensitivity!D32</f>
        <v>406537854.63893872</v>
      </c>
      <c r="H6" s="17">
        <f>WACC_sensitivity!D33</f>
        <v>491410150.7715143</v>
      </c>
      <c r="I6" s="17">
        <f>WACC_sensitivity!D34</f>
        <v>564044519.50131726</v>
      </c>
    </row>
    <row r="31" spans="1:3" x14ac:dyDescent="0.3">
      <c r="A31" s="91" t="s">
        <v>311</v>
      </c>
      <c r="B31" s="91"/>
      <c r="C31" s="91"/>
    </row>
    <row r="32" spans="1:3" x14ac:dyDescent="0.3">
      <c r="A32" s="91" t="s">
        <v>312</v>
      </c>
      <c r="B32" s="91" t="s">
        <v>225</v>
      </c>
      <c r="C32" s="91" t="s">
        <v>226</v>
      </c>
    </row>
    <row r="33" spans="1:3" x14ac:dyDescent="0.3">
      <c r="A33" t="s">
        <v>261</v>
      </c>
      <c r="B33" s="17">
        <f>Sensitivity_Analysis!B66</f>
        <v>-154308221.1148057</v>
      </c>
      <c r="C33" s="17">
        <f>Sensitivity_Analysis!B68</f>
        <v>137162863.21316063</v>
      </c>
    </row>
    <row r="34" spans="1:3" x14ac:dyDescent="0.3">
      <c r="A34" t="s">
        <v>313</v>
      </c>
      <c r="B34" s="17">
        <f>Sensitivity_Analysis!B79</f>
        <v>-49102870.624742568</v>
      </c>
      <c r="C34" s="17">
        <f>Sensitivity_Analysis!B80</f>
        <v>49102870.624742612</v>
      </c>
    </row>
    <row r="35" spans="1:3" x14ac:dyDescent="0.3">
      <c r="A35" t="s">
        <v>260</v>
      </c>
      <c r="B35" s="17">
        <f>Sensitivity_Analysis!B58</f>
        <v>-19047938.350014985</v>
      </c>
      <c r="C35" s="17">
        <f>Sensitivity_Analysis!B57</f>
        <v>19047938.35001497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C6C5-B697-4831-9C66-CBDEE1F3DDE3}">
  <sheetPr codeName="Sheet6"/>
  <dimension ref="A1:N56"/>
  <sheetViews>
    <sheetView zoomScale="61" workbookViewId="0">
      <selection activeCell="K13" sqref="K13"/>
    </sheetView>
  </sheetViews>
  <sheetFormatPr defaultRowHeight="14.4" x14ac:dyDescent="0.3"/>
  <cols>
    <col min="1" max="1" width="42.21875" bestFit="1" customWidth="1"/>
    <col min="2" max="5" width="16.77734375" bestFit="1" customWidth="1"/>
    <col min="6" max="12" width="17.88671875" bestFit="1" customWidth="1"/>
    <col min="13" max="13" width="27.88671875" style="41" customWidth="1"/>
  </cols>
  <sheetData>
    <row r="1" spans="1:13" ht="16.8" customHeight="1" x14ac:dyDescent="0.3">
      <c r="A1" s="99" t="s">
        <v>100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 ht="14.4" customHeight="1" x14ac:dyDescent="0.3">
      <c r="A2" s="98" t="s">
        <v>51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40" t="s">
        <v>111</v>
      </c>
    </row>
    <row r="3" spans="1:13" x14ac:dyDescent="0.3">
      <c r="A3" t="s">
        <v>50</v>
      </c>
      <c r="B3">
        <v>2020</v>
      </c>
      <c r="C3">
        <v>2021</v>
      </c>
      <c r="D3">
        <v>2022</v>
      </c>
      <c r="E3">
        <v>2023</v>
      </c>
      <c r="F3">
        <v>2024</v>
      </c>
      <c r="G3">
        <v>2025</v>
      </c>
      <c r="H3">
        <v>2026</v>
      </c>
      <c r="I3">
        <v>2027</v>
      </c>
      <c r="J3">
        <v>2028</v>
      </c>
      <c r="K3">
        <v>2029</v>
      </c>
      <c r="L3">
        <v>2030</v>
      </c>
    </row>
    <row r="4" spans="1:13" x14ac:dyDescent="0.3">
      <c r="A4" t="s">
        <v>119</v>
      </c>
      <c r="B4" s="50">
        <f>Assumptions!$B$110*(1/(1+EXP(-Assumptions!$B$114*(B$3-Assumptions!$B$115))) - 1/(1+EXP(-Assumptions!$B$114*($B$3-Assumptions!$B$115)))) / (1/(1+EXP(-Assumptions!$B$114*($L$3-Assumptions!$B$115))) - 1/(1+EXP(-Assumptions!$B$114*($B$3-Assumptions!$B$115))))</f>
        <v>0</v>
      </c>
      <c r="C4" s="50">
        <f>Assumptions!$B$110*(1/(1+EXP(-Assumptions!$B$114*(C$3-Assumptions!$B$115))) - 1/(1+EXP(-Assumptions!$B$114*($B$3-Assumptions!$B$115)))) / (1/(1+EXP(-Assumptions!$B$114*($L$3-Assumptions!$B$115))) - 1/(1+EXP(-Assumptions!$B$114*($B$3-Assumptions!$B$115))))</f>
        <v>17003.278539853483</v>
      </c>
      <c r="D4" s="50">
        <f>Assumptions!$B$110*(1/(1+EXP(-Assumptions!$B$114*(D$3-Assumptions!$B$115))) - 1/(1+EXP(-Assumptions!$B$114*($B$3-Assumptions!$B$115)))) / (1/(1+EXP(-Assumptions!$B$114*($L$3-Assumptions!$B$115))) - 1/(1+EXP(-Assumptions!$B$114*($B$3-Assumptions!$B$115))))</f>
        <v>50487.514396146573</v>
      </c>
      <c r="E4" s="50">
        <f>Assumptions!$B$110*(1/(1+EXP(-Assumptions!$B$114*(E$3-Assumptions!$B$115))) - 1/(1+EXP(-Assumptions!$B$114*($B$3-Assumptions!$B$115)))) / (1/(1+EXP(-Assumptions!$B$114*($L$3-Assumptions!$B$115))) - 1/(1+EXP(-Assumptions!$B$114*($B$3-Assumptions!$B$115))))</f>
        <v>115004.34859036164</v>
      </c>
      <c r="F4" s="50">
        <f>Assumptions!$B$110*(1/(1+EXP(-Assumptions!$B$114*(F$3-Assumptions!$B$115))) - 1/(1+EXP(-Assumptions!$B$114*($B$3-Assumptions!$B$115)))) / (1/(1+EXP(-Assumptions!$B$114*($L$3-Assumptions!$B$115))) - 1/(1+EXP(-Assumptions!$B$114*($B$3-Assumptions!$B$115))))</f>
        <v>234246.59166974234</v>
      </c>
      <c r="G4" s="50">
        <f>Assumptions!$B$110*(1/(1+EXP(-Assumptions!$B$114*(G$3-Assumptions!$B$115))) - 1/(1+EXP(-Assumptions!$B$114*($B$3-Assumptions!$B$115)))) / (1/(1+EXP(-Assumptions!$B$114*($L$3-Assumptions!$B$115))) - 1/(1+EXP(-Assumptions!$B$114*($B$3-Assumptions!$B$115))))</f>
        <v>438583.98089690087</v>
      </c>
      <c r="H4" s="50">
        <f>Assumptions!$B$110*(1/(1+EXP(-Assumptions!$B$114*(H$3-Assumptions!$B$115))) - 1/(1+EXP(-Assumptions!$B$114*($B$3-Assumptions!$B$115)))) / (1/(1+EXP(-Assumptions!$B$114*($L$3-Assumptions!$B$115))) - 1/(1+EXP(-Assumptions!$B$114*($B$3-Assumptions!$B$115))))</f>
        <v>747202.50696869334</v>
      </c>
      <c r="I4" s="50">
        <f>Assumptions!$B$110*(1/(1+EXP(-Assumptions!$B$114*(I$3-Assumptions!$B$115))) - 1/(1+EXP(-Assumptions!$B$114*($B$3-Assumptions!$B$115)))) / (1/(1+EXP(-Assumptions!$B$114*($L$3-Assumptions!$B$115))) - 1/(1+EXP(-Assumptions!$B$114*($B$3-Assumptions!$B$115))))</f>
        <v>1134570.9154575125</v>
      </c>
      <c r="J4" s="50">
        <f>Assumptions!$B$110*(1/(1+EXP(-Assumptions!$B$114*(J$3-Assumptions!$B$115))) - 1/(1+EXP(-Assumptions!$B$114*($B$3-Assumptions!$B$115)))) / (1/(1+EXP(-Assumptions!$B$114*($L$3-Assumptions!$B$115))) - 1/(1+EXP(-Assumptions!$B$114*($B$3-Assumptions!$B$115))))</f>
        <v>1521939.3239463319</v>
      </c>
      <c r="K4" s="50">
        <f>Assumptions!$B$110*(1/(1+EXP(-Assumptions!$B$114*(K$3-Assumptions!$B$115))) - 1/(1+EXP(-Assumptions!$B$114*($B$3-Assumptions!$B$115)))) / (1/(1+EXP(-Assumptions!$B$114*($L$3-Assumptions!$B$115))) - 1/(1+EXP(-Assumptions!$B$114*($B$3-Assumptions!$B$115))))</f>
        <v>1830557.8500181241</v>
      </c>
      <c r="L4" s="50">
        <f>Assumptions!$B$110*(1/(1+EXP(-Assumptions!$B$114*(L$3-Assumptions!$B$115))) - 1/(1+EXP(-Assumptions!$B$114*($B$3-Assumptions!$B$115)))) / (1/(1+EXP(-Assumptions!$B$114*($L$3-Assumptions!$B$115))) - 1/(1+EXP(-Assumptions!$B$114*($B$3-Assumptions!$B$115))))</f>
        <v>2034895.2392452827</v>
      </c>
      <c r="M4" s="68">
        <f>L4</f>
        <v>2034895.2392452827</v>
      </c>
    </row>
    <row r="5" spans="1:13" x14ac:dyDescent="0.3">
      <c r="A5" t="s">
        <v>120</v>
      </c>
      <c r="B5" s="50">
        <f>B4</f>
        <v>0</v>
      </c>
      <c r="C5" s="50">
        <f t="shared" ref="C5:L5" si="0">C4-B4</f>
        <v>17003.278539853483</v>
      </c>
      <c r="D5" s="50">
        <f t="shared" si="0"/>
        <v>33484.235856293089</v>
      </c>
      <c r="E5" s="50">
        <f t="shared" si="0"/>
        <v>64516.834194215066</v>
      </c>
      <c r="F5" s="50">
        <f t="shared" si="0"/>
        <v>119242.2430793807</v>
      </c>
      <c r="G5" s="50">
        <f t="shared" si="0"/>
        <v>204337.38922715854</v>
      </c>
      <c r="H5" s="50">
        <f t="shared" si="0"/>
        <v>308618.52607179247</v>
      </c>
      <c r="I5" s="50">
        <f t="shared" si="0"/>
        <v>387368.40848881914</v>
      </c>
      <c r="J5" s="50">
        <f t="shared" si="0"/>
        <v>387368.40848881938</v>
      </c>
      <c r="K5" s="50">
        <f t="shared" si="0"/>
        <v>308618.52607179224</v>
      </c>
      <c r="L5" s="50">
        <f t="shared" si="0"/>
        <v>204337.38922715862</v>
      </c>
      <c r="M5" s="68">
        <f>SUM(B5:L5)</f>
        <v>2034895.2392452827</v>
      </c>
    </row>
    <row r="6" spans="1:13" x14ac:dyDescent="0.3">
      <c r="A6" t="s">
        <v>146</v>
      </c>
      <c r="B6" s="50">
        <f>B4</f>
        <v>0</v>
      </c>
      <c r="C6" s="50">
        <f>C4</f>
        <v>17003.278539853483</v>
      </c>
      <c r="D6" s="50">
        <f t="shared" ref="D6:E6" si="1">D4</f>
        <v>50487.514396146573</v>
      </c>
      <c r="E6" s="50">
        <f t="shared" si="1"/>
        <v>115004.34859036164</v>
      </c>
      <c r="F6" s="50">
        <f>$F$4</f>
        <v>234246.59166974234</v>
      </c>
      <c r="G6" s="50">
        <f t="shared" ref="G6:L6" si="2">$F$4</f>
        <v>234246.59166974234</v>
      </c>
      <c r="H6" s="50">
        <f t="shared" si="2"/>
        <v>234246.59166974234</v>
      </c>
      <c r="I6" s="50">
        <f t="shared" si="2"/>
        <v>234246.59166974234</v>
      </c>
      <c r="J6" s="50">
        <f t="shared" si="2"/>
        <v>234246.59166974234</v>
      </c>
      <c r="K6" s="50">
        <f t="shared" si="2"/>
        <v>234246.59166974234</v>
      </c>
      <c r="L6" s="50">
        <f t="shared" si="2"/>
        <v>234246.59166974234</v>
      </c>
      <c r="M6" s="68"/>
    </row>
    <row r="7" spans="1:13" x14ac:dyDescent="0.3">
      <c r="A7" t="s">
        <v>147</v>
      </c>
      <c r="B7" s="50">
        <f>IF(B$3&gt;=2025, B4-$F4, 0)</f>
        <v>0</v>
      </c>
      <c r="C7" s="50">
        <f t="shared" ref="C7:L7" si="3">IF(C$3&gt;=2025, C4-$F4, 0)</f>
        <v>0</v>
      </c>
      <c r="D7" s="50">
        <f t="shared" si="3"/>
        <v>0</v>
      </c>
      <c r="E7" s="50">
        <f t="shared" si="3"/>
        <v>0</v>
      </c>
      <c r="F7" s="50">
        <f t="shared" si="3"/>
        <v>0</v>
      </c>
      <c r="G7" s="50">
        <f>IF(G$3&gt;=2025, G4-$F4, 0)</f>
        <v>204337.38922715854</v>
      </c>
      <c r="H7" s="50">
        <f t="shared" si="3"/>
        <v>512955.91529895097</v>
      </c>
      <c r="I7" s="50">
        <f t="shared" si="3"/>
        <v>900324.32378777012</v>
      </c>
      <c r="J7" s="50">
        <f t="shared" si="3"/>
        <v>1287692.7322765896</v>
      </c>
      <c r="K7" s="50">
        <f t="shared" si="3"/>
        <v>1596311.2583483818</v>
      </c>
      <c r="L7" s="50">
        <f t="shared" si="3"/>
        <v>1800648.6475755405</v>
      </c>
      <c r="M7" s="68"/>
    </row>
    <row r="8" spans="1:13" x14ac:dyDescent="0.3">
      <c r="A8" s="98" t="s">
        <v>67</v>
      </c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43"/>
    </row>
    <row r="9" spans="1:13" x14ac:dyDescent="0.3">
      <c r="A9" t="s">
        <v>110</v>
      </c>
      <c r="B9" s="17">
        <f>Assumptions!$C$27*B6+Assumptions!$C$28*B7+Assumptions!$C$29*B4</f>
        <v>0</v>
      </c>
      <c r="C9" s="17">
        <f>Assumptions!$C$27*C6+Assumptions!$C$28*C7+Assumptions!$C$29*C4</f>
        <v>1419466.6117468844</v>
      </c>
      <c r="D9" s="17">
        <f>Assumptions!$C$27*D6+Assumptions!$C$28*D7+Assumptions!$C$29*D4</f>
        <v>4214795.4482687525</v>
      </c>
      <c r="E9" s="17">
        <f>Assumptions!$C$27*E6+Assumptions!$C$28*E7+Assumptions!$C$29*E4</f>
        <v>9600785.6747799236</v>
      </c>
      <c r="F9" s="17">
        <f>Assumptions!$C$27*F6+Assumptions!$C$28*F7+Assumptions!$C$29*F4</f>
        <v>19555358.986289378</v>
      </c>
      <c r="G9" s="17">
        <f>Assumptions!$C$27*G6+Assumptions!$C$28*G7+Assumptions!$C$29*G4</f>
        <v>33103932.135087792</v>
      </c>
      <c r="H9" s="17">
        <f>Assumptions!$C$27*H6+Assumptions!$C$28*H7+Assumptions!$C$29*H4</f>
        <v>53566857.160080165</v>
      </c>
      <c r="I9" s="17">
        <f>Assumptions!$C$27*I6+Assumptions!$C$28*I7+Assumptions!$C$29*I4</f>
        <v>79251286.416000411</v>
      </c>
      <c r="J9" s="17">
        <f>Assumptions!$C$27*J6+Assumptions!$C$28*J7+Assumptions!$C$29*J4</f>
        <v>104935715.67192066</v>
      </c>
      <c r="K9" s="17">
        <f>Assumptions!$C$27*K6+Assumptions!$C$28*K7+Assumptions!$C$29*K4</f>
        <v>125398640.69691302</v>
      </c>
      <c r="L9" s="17">
        <f>Assumptions!$C$27*L6+Assumptions!$C$28*L7+Assumptions!$C$29*L4</f>
        <v>138947213.84571144</v>
      </c>
      <c r="M9" s="42">
        <f t="shared" ref="M9:M10" si="4">SUM(B9:L9)</f>
        <v>569994052.64679837</v>
      </c>
    </row>
    <row r="10" spans="1:13" x14ac:dyDescent="0.3">
      <c r="A10" t="s">
        <v>65</v>
      </c>
      <c r="B10" s="16">
        <f>B$4*Assumptions!$B$111*12</f>
        <v>0</v>
      </c>
      <c r="C10" s="16">
        <f>C$4*Assumptions!$B$111*12</f>
        <v>112752.14065347642</v>
      </c>
      <c r="D10" s="16">
        <f>D$4*Assumptions!$B$111*12</f>
        <v>334792.80546372716</v>
      </c>
      <c r="E10" s="16">
        <f>E$4*Assumptions!$B$111*12</f>
        <v>762616.83637240611</v>
      </c>
      <c r="F10" s="16">
        <f>F$4*Assumptions!$B$111*12</f>
        <v>1553335.9986803953</v>
      </c>
      <c r="G10" s="16">
        <f>G$4*Assumptions!$B$111*12</f>
        <v>2908338.0941235293</v>
      </c>
      <c r="H10" s="16">
        <f>H$4*Assumptions!$B$111*12</f>
        <v>4954849.2642107988</v>
      </c>
      <c r="I10" s="16">
        <f>I$4*Assumptions!$B$111*12</f>
        <v>7523566.654581856</v>
      </c>
      <c r="J10" s="16">
        <f>J$4*Assumptions!$B$111*12</f>
        <v>10092284.044952916</v>
      </c>
      <c r="K10" s="16">
        <f>K$4*Assumptions!$B$111*12</f>
        <v>12138795.215040185</v>
      </c>
      <c r="L10" s="16">
        <f>L$4*Assumptions!$B$111*12</f>
        <v>13493797.310483318</v>
      </c>
      <c r="M10" s="42">
        <f t="shared" si="4"/>
        <v>53875128.364562601</v>
      </c>
    </row>
    <row r="11" spans="1:13" x14ac:dyDescent="0.3">
      <c r="A11" t="s">
        <v>66</v>
      </c>
      <c r="B11" s="17">
        <f>B9-B10</f>
        <v>0</v>
      </c>
      <c r="C11" s="17">
        <f t="shared" ref="C11:L11" si="5">C9-C10</f>
        <v>1306714.4710934081</v>
      </c>
      <c r="D11" s="17">
        <f t="shared" si="5"/>
        <v>3880002.6428050254</v>
      </c>
      <c r="E11" s="17">
        <f t="shared" si="5"/>
        <v>8838168.8384075183</v>
      </c>
      <c r="F11" s="17">
        <f t="shared" si="5"/>
        <v>18002022.987608984</v>
      </c>
      <c r="G11" s="17">
        <f t="shared" si="5"/>
        <v>30195594.040964261</v>
      </c>
      <c r="H11" s="17">
        <f t="shared" si="5"/>
        <v>48612007.895869367</v>
      </c>
      <c r="I11" s="17">
        <f t="shared" si="5"/>
        <v>71727719.761418551</v>
      </c>
      <c r="J11" s="17">
        <f t="shared" si="5"/>
        <v>94843431.626967743</v>
      </c>
      <c r="K11" s="17">
        <f t="shared" si="5"/>
        <v>113259845.48187283</v>
      </c>
      <c r="L11" s="17">
        <f t="shared" si="5"/>
        <v>125453416.53522812</v>
      </c>
      <c r="M11" s="52">
        <f>SUM(B11:L11)</f>
        <v>516118924.28223586</v>
      </c>
    </row>
    <row r="12" spans="1:13" x14ac:dyDescent="0.3">
      <c r="A12" s="98" t="s">
        <v>68</v>
      </c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43"/>
    </row>
    <row r="13" spans="1:13" x14ac:dyDescent="0.3">
      <c r="A13" t="s">
        <v>73</v>
      </c>
      <c r="B13" s="19">
        <f>Assumptions!$C$52</f>
        <v>1252033731.9944537</v>
      </c>
      <c r="C13" s="19">
        <f>Assumptions!$C$53</f>
        <v>1310555492.4267037</v>
      </c>
      <c r="D13" s="19">
        <f>Assumptions!$C$54</f>
        <v>1333186020.8256195</v>
      </c>
      <c r="E13" s="19">
        <f>Assumptions!$C$55</f>
        <v>1478786948.6392872</v>
      </c>
      <c r="F13" s="19">
        <f>Assumptions!$C$56</f>
        <v>1209243952.846771</v>
      </c>
      <c r="G13" s="19">
        <f>Assumptions!$C$57</f>
        <v>1294412262.6582277</v>
      </c>
      <c r="H13" s="19">
        <f>G13*Assumptions!$C$58+G13</f>
        <v>1333924074.8163278</v>
      </c>
      <c r="I13" s="19">
        <f>H13*Assumptions!$C$58+H13</f>
        <v>1374641981.3116453</v>
      </c>
      <c r="J13" s="19">
        <f>I13*Assumptions!$C$58+I13</f>
        <v>1416602798.0599992</v>
      </c>
      <c r="K13" s="19">
        <f>J13*Assumptions!$C$58+J13</f>
        <v>1459844464.7795646</v>
      </c>
      <c r="L13" s="19">
        <f>K13*Assumptions!$C$58+K13</f>
        <v>1504406079.2948329</v>
      </c>
    </row>
    <row r="14" spans="1:13" x14ac:dyDescent="0.3">
      <c r="A14" t="s">
        <v>71</v>
      </c>
      <c r="B14" s="20">
        <f>B13*Assumptions!$C$59</f>
        <v>37561011.959833607</v>
      </c>
      <c r="C14" s="20">
        <f>C13*Assumptions!$C$59</f>
        <v>39316664.772801109</v>
      </c>
      <c r="D14" s="20">
        <f>D13*Assumptions!$C$59</f>
        <v>39995580.624768585</v>
      </c>
      <c r="E14" s="20">
        <f>E13*Assumptions!$C$59</f>
        <v>44363608.459178612</v>
      </c>
      <c r="F14" s="20">
        <f>F13*Assumptions!$C$59</f>
        <v>36277318.585403129</v>
      </c>
      <c r="G14" s="20">
        <f>G13*Assumptions!$C$59</f>
        <v>38832367.879746832</v>
      </c>
      <c r="H14" s="20">
        <f>H13*Assumptions!$C$59</f>
        <v>40017722.244489834</v>
      </c>
      <c r="I14" s="20">
        <f>I13*Assumptions!$C$59</f>
        <v>41239259.439349353</v>
      </c>
      <c r="J14" s="20">
        <f>J13*Assumptions!$C$59</f>
        <v>42498083.941799976</v>
      </c>
      <c r="K14" s="20">
        <f>K13*Assumptions!$C$59</f>
        <v>43795333.943386935</v>
      </c>
      <c r="L14" s="20">
        <f>L13*Assumptions!$C$59</f>
        <v>45132182.378844984</v>
      </c>
      <c r="M14" s="56">
        <f>SUM(B14:L14)</f>
        <v>449029134.22960293</v>
      </c>
    </row>
    <row r="15" spans="1:13" x14ac:dyDescent="0.3">
      <c r="A15" t="s">
        <v>72</v>
      </c>
      <c r="B15" s="18">
        <f>B11/B14</f>
        <v>0</v>
      </c>
      <c r="C15" s="18">
        <f>C11/C14</f>
        <v>3.3235638847916228E-2</v>
      </c>
      <c r="D15" s="18">
        <f t="shared" ref="D15:L15" si="6">D11/D14</f>
        <v>9.7010784246552614E-2</v>
      </c>
      <c r="E15" s="18">
        <f t="shared" si="6"/>
        <v>0.19922114420741951</v>
      </c>
      <c r="F15" s="18">
        <f t="shared" si="6"/>
        <v>0.49623356106733979</v>
      </c>
      <c r="G15" s="18">
        <f t="shared" si="6"/>
        <v>0.77758827724520208</v>
      </c>
      <c r="H15" s="18">
        <f t="shared" si="6"/>
        <v>1.2147619896722859</v>
      </c>
      <c r="I15" s="18">
        <f t="shared" si="6"/>
        <v>1.7393066882519708</v>
      </c>
      <c r="J15" s="18">
        <f t="shared" si="6"/>
        <v>2.2317107697573699</v>
      </c>
      <c r="K15" s="18">
        <f t="shared" si="6"/>
        <v>2.5861167225778168</v>
      </c>
      <c r="L15" s="18">
        <f t="shared" si="6"/>
        <v>2.7796886816187394</v>
      </c>
    </row>
    <row r="16" spans="1:13" x14ac:dyDescent="0.3">
      <c r="A16" s="98" t="s">
        <v>106</v>
      </c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43"/>
    </row>
    <row r="17" spans="1:14" x14ac:dyDescent="0.3">
      <c r="A17" t="s">
        <v>81</v>
      </c>
      <c r="G17" s="10">
        <v>14413</v>
      </c>
      <c r="H17" s="10">
        <v>129130</v>
      </c>
      <c r="I17" s="10">
        <v>167073</v>
      </c>
      <c r="J17" s="10">
        <v>146658</v>
      </c>
      <c r="K17" s="10">
        <v>146263</v>
      </c>
      <c r="L17" s="10">
        <v>136023</v>
      </c>
      <c r="M17" s="44">
        <f>SUM(B17:L17)</f>
        <v>739560</v>
      </c>
    </row>
    <row r="18" spans="1:14" x14ac:dyDescent="0.3">
      <c r="A18" t="s">
        <v>87</v>
      </c>
      <c r="G18" s="10"/>
      <c r="H18" s="10"/>
      <c r="I18" s="10"/>
      <c r="J18" s="10">
        <v>11371</v>
      </c>
      <c r="K18" s="10"/>
      <c r="L18" s="10">
        <v>77308</v>
      </c>
      <c r="M18" s="44">
        <f t="shared" ref="M18:M56" si="7">SUM(B18:L18)</f>
        <v>88679</v>
      </c>
    </row>
    <row r="19" spans="1:14" x14ac:dyDescent="0.3">
      <c r="A19" t="s">
        <v>88</v>
      </c>
      <c r="G19" s="10">
        <v>10392</v>
      </c>
      <c r="H19" s="10">
        <v>48368</v>
      </c>
      <c r="I19" s="10">
        <v>43339</v>
      </c>
      <c r="J19" s="10">
        <v>55601</v>
      </c>
      <c r="K19" s="10">
        <v>46385</v>
      </c>
      <c r="L19" s="10">
        <v>35540</v>
      </c>
      <c r="M19" s="44">
        <f t="shared" si="7"/>
        <v>239625</v>
      </c>
    </row>
    <row r="20" spans="1:14" x14ac:dyDescent="0.3">
      <c r="A20" t="s">
        <v>82</v>
      </c>
      <c r="G20" s="10">
        <v>240001</v>
      </c>
      <c r="H20" s="10">
        <v>240001</v>
      </c>
      <c r="I20" s="10">
        <v>240001</v>
      </c>
      <c r="J20" s="10">
        <v>240001</v>
      </c>
      <c r="K20" s="10">
        <v>240001</v>
      </c>
      <c r="L20" s="10">
        <v>240002</v>
      </c>
      <c r="M20" s="44">
        <f t="shared" si="7"/>
        <v>1440007</v>
      </c>
    </row>
    <row r="21" spans="1:14" x14ac:dyDescent="0.3">
      <c r="A21" t="s">
        <v>89</v>
      </c>
      <c r="G21" s="16">
        <f>G17*Assumptions!$C$88</f>
        <v>12121333</v>
      </c>
      <c r="H21" s="16">
        <f>H17*Assumptions!$C$88</f>
        <v>108598330</v>
      </c>
      <c r="I21" s="16">
        <f>I17*Assumptions!$C$88</f>
        <v>140508393</v>
      </c>
      <c r="J21" s="16">
        <f>J17*Assumptions!$C$88</f>
        <v>123339378</v>
      </c>
      <c r="K21" s="16">
        <f>K17*Assumptions!$C$88</f>
        <v>123007183</v>
      </c>
      <c r="L21" s="16">
        <f>L17*Assumptions!$C$88</f>
        <v>114395343</v>
      </c>
      <c r="M21" s="44">
        <f t="shared" si="7"/>
        <v>621969960</v>
      </c>
    </row>
    <row r="22" spans="1:14" x14ac:dyDescent="0.3">
      <c r="A22" t="s">
        <v>90</v>
      </c>
      <c r="G22" s="16">
        <f>G18*Assumptions!$C$89+ G19*Assumptions!$C$90</f>
        <v>19412256</v>
      </c>
      <c r="H22" s="16">
        <f>H18*Assumptions!$C$89+ H19*Assumptions!$C$90</f>
        <v>90351424</v>
      </c>
      <c r="I22" s="16">
        <f>I18*Assumptions!$C$89+ I19*Assumptions!$C$90</f>
        <v>80957252</v>
      </c>
      <c r="J22" s="16">
        <f>J18*Assumptions!$C$89+ J19*Assumptions!$C$90</f>
        <v>124694340</v>
      </c>
      <c r="K22" s="16">
        <f>K18*Assumptions!$C$89+ K19*Assumptions!$C$90</f>
        <v>86647180</v>
      </c>
      <c r="L22" s="16">
        <f>L18*Assumptions!$C$89+ L19*Assumptions!$C$90</f>
        <v>208016976</v>
      </c>
      <c r="M22" s="44">
        <f t="shared" si="7"/>
        <v>610079428</v>
      </c>
    </row>
    <row r="23" spans="1:14" x14ac:dyDescent="0.3">
      <c r="A23" t="s">
        <v>91</v>
      </c>
      <c r="G23" s="16">
        <f>G20*Assumptions!$C$91</f>
        <v>48000200</v>
      </c>
      <c r="H23" s="16">
        <f>H20*Assumptions!$C$91</f>
        <v>48000200</v>
      </c>
      <c r="I23" s="16">
        <f>I20*Assumptions!$C$91</f>
        <v>48000200</v>
      </c>
      <c r="J23" s="16">
        <f>J20*Assumptions!$C$91</f>
        <v>48000200</v>
      </c>
      <c r="K23" s="16">
        <f>K20*Assumptions!$C$91</f>
        <v>48000200</v>
      </c>
      <c r="L23" s="16">
        <f>L20*Assumptions!$C$91</f>
        <v>48000400</v>
      </c>
      <c r="M23" s="44">
        <f t="shared" si="7"/>
        <v>288001400</v>
      </c>
    </row>
    <row r="24" spans="1:14" x14ac:dyDescent="0.3">
      <c r="A24" t="s">
        <v>105</v>
      </c>
      <c r="G24" s="16">
        <f>SUM(G22:G23)</f>
        <v>67412456</v>
      </c>
      <c r="H24" s="16">
        <f t="shared" ref="H24:L24" si="8">SUM(H22:H23)</f>
        <v>138351624</v>
      </c>
      <c r="I24" s="16">
        <f t="shared" si="8"/>
        <v>128957452</v>
      </c>
      <c r="J24" s="16">
        <f t="shared" si="8"/>
        <v>172694540</v>
      </c>
      <c r="K24" s="16">
        <f t="shared" si="8"/>
        <v>134647380</v>
      </c>
      <c r="L24" s="16">
        <f t="shared" si="8"/>
        <v>256017376</v>
      </c>
      <c r="M24" s="44">
        <f t="shared" si="7"/>
        <v>898080828</v>
      </c>
    </row>
    <row r="25" spans="1:14" x14ac:dyDescent="0.3">
      <c r="A25" t="s">
        <v>92</v>
      </c>
      <c r="G25" s="17">
        <f>SUM(G21:G23)</f>
        <v>79533789</v>
      </c>
      <c r="H25" s="17">
        <f t="shared" ref="H25:L25" si="9">SUM(H21:H23)</f>
        <v>246949954</v>
      </c>
      <c r="I25" s="17">
        <f t="shared" si="9"/>
        <v>269465845</v>
      </c>
      <c r="J25" s="17">
        <f t="shared" si="9"/>
        <v>296033918</v>
      </c>
      <c r="K25" s="17">
        <f t="shared" si="9"/>
        <v>257654563</v>
      </c>
      <c r="L25" s="17">
        <f t="shared" si="9"/>
        <v>370412719</v>
      </c>
      <c r="M25" s="44">
        <f>SUM(B25:L25)</f>
        <v>1520050788</v>
      </c>
    </row>
    <row r="26" spans="1:14" x14ac:dyDescent="0.3">
      <c r="A26" t="s">
        <v>104</v>
      </c>
      <c r="G26" s="17">
        <f>(G22+G23)*Assumptions!$C$94</f>
        <v>20223736.800000001</v>
      </c>
      <c r="H26" s="17">
        <f>(H22+H23)*Assumptions!$C$94</f>
        <v>41505487.199999996</v>
      </c>
      <c r="I26" s="17">
        <f>(I22+I23)*Assumptions!$C$94</f>
        <v>38687235.600000001</v>
      </c>
      <c r="J26" s="17">
        <f>(J22+J23)*Assumptions!$C$94</f>
        <v>51808362</v>
      </c>
      <c r="K26" s="17">
        <f>(K22+K23)*Assumptions!$C$94</f>
        <v>40394214</v>
      </c>
      <c r="L26" s="17">
        <f>(L22+L23)*Assumptions!$C$94</f>
        <v>76805212.799999997</v>
      </c>
      <c r="M26" s="44">
        <f>SUM(B26:L26)</f>
        <v>269424248.39999998</v>
      </c>
    </row>
    <row r="27" spans="1:14" x14ac:dyDescent="0.3">
      <c r="A27" t="s">
        <v>103</v>
      </c>
      <c r="G27" s="8">
        <f>(G26*(G23/(G22+G23)))/G26</f>
        <v>0.7120375498557715</v>
      </c>
      <c r="H27" s="8">
        <f t="shared" ref="H27:L27" si="10">(H26*(H23/(H22+H23)))/H26</f>
        <v>0.34694352413239471</v>
      </c>
      <c r="I27" s="8">
        <f t="shared" si="10"/>
        <v>0.37221734188730715</v>
      </c>
      <c r="J27" s="8">
        <f t="shared" si="10"/>
        <v>0.27794856745326169</v>
      </c>
      <c r="K27" s="8">
        <f t="shared" si="10"/>
        <v>0.35648818417409978</v>
      </c>
      <c r="L27" s="8">
        <f t="shared" si="10"/>
        <v>0.1874888366952093</v>
      </c>
      <c r="M27" s="44"/>
    </row>
    <row r="28" spans="1:14" x14ac:dyDescent="0.3">
      <c r="A28" t="s">
        <v>102</v>
      </c>
      <c r="G28" s="17">
        <f>G21*Assumptions!$C$92+(G22+G23)*Assumptions!$C$94</f>
        <v>32345069.800000001</v>
      </c>
      <c r="H28" s="17">
        <f>H21*Assumptions!$C$92+(H22+H23)*Assumptions!$C$94</f>
        <v>150103817.19999999</v>
      </c>
      <c r="I28" s="17">
        <f>I21*Assumptions!$C$92+(I22+I23)*Assumptions!$C$94</f>
        <v>179195628.59999999</v>
      </c>
      <c r="J28" s="17">
        <f>J21*Assumptions!$C$92+(J22+J23)*Assumptions!$C$94</f>
        <v>175147740</v>
      </c>
      <c r="K28" s="17">
        <f>K21*Assumptions!$C$92+(K22+K23)*Assumptions!$C$94</f>
        <v>163401397</v>
      </c>
      <c r="L28" s="17">
        <f>L21*Assumptions!$C$92+(L22+L23)*Assumptions!$C$94</f>
        <v>191200555.80000001</v>
      </c>
      <c r="M28" s="45">
        <f t="shared" si="7"/>
        <v>891394208.4000001</v>
      </c>
    </row>
    <row r="29" spans="1:14" x14ac:dyDescent="0.3">
      <c r="A29" s="98" t="s">
        <v>112</v>
      </c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46"/>
    </row>
    <row r="30" spans="1:14" x14ac:dyDescent="0.3">
      <c r="A30" t="s">
        <v>144</v>
      </c>
      <c r="B30" s="51">
        <v>0</v>
      </c>
      <c r="C30" s="51">
        <v>0</v>
      </c>
      <c r="D30" s="51">
        <v>0</v>
      </c>
      <c r="E30" s="51">
        <v>0</v>
      </c>
      <c r="F30" s="51">
        <v>0</v>
      </c>
      <c r="G30" s="50">
        <f>C6</f>
        <v>17003.278539853483</v>
      </c>
      <c r="H30" s="50">
        <f>D6</f>
        <v>50487.514396146573</v>
      </c>
      <c r="I30" s="50">
        <f>E6</f>
        <v>115004.34859036164</v>
      </c>
      <c r="J30" s="50">
        <f>F6+B6</f>
        <v>234246.59166974234</v>
      </c>
      <c r="K30" s="51">
        <v>0</v>
      </c>
      <c r="L30" s="51">
        <v>0</v>
      </c>
      <c r="M30" s="45"/>
    </row>
    <row r="31" spans="1:14" x14ac:dyDescent="0.3">
      <c r="A31" t="s">
        <v>145</v>
      </c>
      <c r="B31" s="51">
        <f>B6+B30</f>
        <v>0</v>
      </c>
      <c r="C31" s="50">
        <f t="shared" ref="C31:L31" si="11">C6+C30</f>
        <v>17003.278539853483</v>
      </c>
      <c r="D31" s="50">
        <f t="shared" si="11"/>
        <v>50487.514396146573</v>
      </c>
      <c r="E31" s="50">
        <f t="shared" si="11"/>
        <v>115004.34859036164</v>
      </c>
      <c r="F31" s="50">
        <f t="shared" si="11"/>
        <v>234246.59166974234</v>
      </c>
      <c r="G31" s="50">
        <f t="shared" si="11"/>
        <v>251249.87020959583</v>
      </c>
      <c r="H31" s="50">
        <f t="shared" si="11"/>
        <v>284734.10606588889</v>
      </c>
      <c r="I31" s="50">
        <f t="shared" si="11"/>
        <v>349250.94026010396</v>
      </c>
      <c r="J31" s="50">
        <f t="shared" si="11"/>
        <v>468493.18333948468</v>
      </c>
      <c r="K31" s="50">
        <f t="shared" si="11"/>
        <v>234246.59166974234</v>
      </c>
      <c r="L31" s="50">
        <f t="shared" si="11"/>
        <v>234246.59166974234</v>
      </c>
      <c r="M31" s="45">
        <f>SUM(B31:L31)</f>
        <v>2238963.0164106619</v>
      </c>
    </row>
    <row r="32" spans="1:14" x14ac:dyDescent="0.3">
      <c r="A32" s="48" t="s">
        <v>114</v>
      </c>
      <c r="G32" s="17"/>
      <c r="H32" s="17"/>
      <c r="I32" s="17"/>
      <c r="J32" s="17"/>
      <c r="K32" s="17"/>
      <c r="L32" s="17"/>
      <c r="M32" s="44"/>
      <c r="N32" s="10"/>
    </row>
    <row r="33" spans="1:14" x14ac:dyDescent="0.3">
      <c r="A33" t="s">
        <v>130</v>
      </c>
      <c r="B33" s="17">
        <f>(Assumptions!$C$16*Assumptions!$C$24)*B31</f>
        <v>0</v>
      </c>
      <c r="C33" s="17">
        <f>(Assumptions!$C$16*Assumptions!$C$24)*(C31+B31)</f>
        <v>2155953.1492911782</v>
      </c>
      <c r="D33" s="17">
        <f>(Assumptions!$C$16*Assumptions!$C$24)*(D31+C31)</f>
        <v>8557584.1881010532</v>
      </c>
      <c r="E33" s="17">
        <f>(Assumptions!$C$16*Assumptions!$C$24)*(E31+D31)</f>
        <v>20983759.240992885</v>
      </c>
      <c r="F33" s="17">
        <f>(Assumptions!$C$16*Assumptions!$C$24)*(F31+E31)</f>
        <v>44283734.03292872</v>
      </c>
      <c r="G33" s="17">
        <f>(Assumptions!$C$16*(Assumptions!$C$24*F31+G31*Assumptions!$C$26))</f>
        <v>61559164.810782604</v>
      </c>
      <c r="H33" s="17">
        <f>(Assumptions!$C$16*Assumptions!$C$26)*(H31+G31)</f>
        <v>67960795.849592477</v>
      </c>
      <c r="I33" s="17">
        <f>(Assumptions!$C$16*Assumptions!$C$26)*(I31+H31)</f>
        <v>80386970.902484298</v>
      </c>
      <c r="J33" s="17">
        <f>(Assumptions!$C$16*Assumptions!$C$26)*(J31+I31)</f>
        <v>103686945.69442014</v>
      </c>
      <c r="K33" s="17">
        <f>(Assumptions!$C$16*Assumptions!$C$26)*(K31+J31)</f>
        <v>89104817.492237136</v>
      </c>
      <c r="L33" s="17">
        <f>(Assumptions!$C$16*Assumptions!$C$26)*(L31+K31)</f>
        <v>59403211.661491424</v>
      </c>
      <c r="M33" s="44">
        <f>SUM(B33:L33)</f>
        <v>538082937.02232194</v>
      </c>
      <c r="N33" s="10"/>
    </row>
    <row r="34" spans="1:14" x14ac:dyDescent="0.3">
      <c r="A34" t="s">
        <v>131</v>
      </c>
      <c r="B34" s="17">
        <f>Assumptions!$C$29*(B4)</f>
        <v>0</v>
      </c>
      <c r="C34" s="17">
        <f>Assumptions!$C$29*(C4)</f>
        <v>170032.78539853485</v>
      </c>
      <c r="D34" s="17">
        <f>Assumptions!$C$29*(D4)</f>
        <v>504875.14396146574</v>
      </c>
      <c r="E34" s="17">
        <f>Assumptions!$C$29*(E4)</f>
        <v>1150043.4859036163</v>
      </c>
      <c r="F34" s="17">
        <f>Assumptions!$C$29*(F4)</f>
        <v>2342465.9166974234</v>
      </c>
      <c r="G34" s="17">
        <f>Assumptions!$C$29*(G4)</f>
        <v>4385839.8089690087</v>
      </c>
      <c r="H34" s="17">
        <f>Assumptions!$C$29*(H4)</f>
        <v>7472025.0696869334</v>
      </c>
      <c r="I34" s="17">
        <f>Assumptions!$C$29*(I4)</f>
        <v>11345709.154575124</v>
      </c>
      <c r="J34" s="17">
        <f>Assumptions!$C$29*(J4)</f>
        <v>15219393.239463318</v>
      </c>
      <c r="K34" s="17">
        <f>Assumptions!$C$29*(K4)</f>
        <v>18305578.500181243</v>
      </c>
      <c r="L34" s="17">
        <f>Assumptions!$C$29*(L4)</f>
        <v>20348952.392452829</v>
      </c>
      <c r="M34" s="44">
        <f>SUM(B34:L34)</f>
        <v>81244915.497289509</v>
      </c>
      <c r="N34" s="10"/>
    </row>
    <row r="35" spans="1:14" x14ac:dyDescent="0.3">
      <c r="A35" t="s">
        <v>115</v>
      </c>
      <c r="B35" s="17">
        <f>SUM(B33:B34)</f>
        <v>0</v>
      </c>
      <c r="C35" s="17">
        <f t="shared" ref="C35:L35" si="12">SUM(C33:C34)</f>
        <v>2325985.9346897132</v>
      </c>
      <c r="D35" s="17">
        <f t="shared" si="12"/>
        <v>9062459.3320625182</v>
      </c>
      <c r="E35" s="17">
        <f t="shared" si="12"/>
        <v>22133802.726896502</v>
      </c>
      <c r="F35" s="17">
        <f t="shared" si="12"/>
        <v>46626199.94962614</v>
      </c>
      <c r="G35" s="17">
        <f t="shared" si="12"/>
        <v>65945004.61975161</v>
      </c>
      <c r="H35" s="17">
        <f t="shared" si="12"/>
        <v>75432820.919279411</v>
      </c>
      <c r="I35" s="17">
        <f t="shared" si="12"/>
        <v>91732680.057059422</v>
      </c>
      <c r="J35" s="17">
        <f t="shared" si="12"/>
        <v>118906338.93388346</v>
      </c>
      <c r="K35" s="17">
        <f t="shared" si="12"/>
        <v>107410395.99241838</v>
      </c>
      <c r="L35" s="17">
        <f t="shared" si="12"/>
        <v>79752164.05394426</v>
      </c>
      <c r="M35" s="44"/>
      <c r="N35" s="10"/>
    </row>
    <row r="36" spans="1:14" x14ac:dyDescent="0.3">
      <c r="A36" t="s">
        <v>124</v>
      </c>
      <c r="B36" s="17">
        <f>(((1-Assumptions!$C$45)*Assumptions!$C$17)*Assumptions!$C$46/12)/((1-(1+Assumptions!$C$46/12)^-24))</f>
        <v>9.6737809861805726</v>
      </c>
      <c r="C36" s="17">
        <f>(((1-Assumptions!$C$45)*Assumptions!$C$17)*Assumptions!$C$46/12)/((1-(1+Assumptions!$C$46/12)^-24))</f>
        <v>9.6737809861805726</v>
      </c>
      <c r="D36" s="17">
        <f>(((1-Assumptions!$C$45)*Assumptions!$C$17)*Assumptions!$C$46/12)/((1-(1+Assumptions!$C$46/12)^-24))</f>
        <v>9.6737809861805726</v>
      </c>
      <c r="E36" s="17">
        <f>(((1-Assumptions!$C$45)*Assumptions!$C$17)*Assumptions!$C$46/12)/((1-(1+Assumptions!$C$46/12)^-24))</f>
        <v>9.6737809861805726</v>
      </c>
      <c r="F36" s="17">
        <f>(((1-Assumptions!$C$45)*Assumptions!$C$17)*Assumptions!$C$46/12)/((1-(1+Assumptions!$C$46/12)^-24))</f>
        <v>9.6737809861805726</v>
      </c>
      <c r="G36" s="17">
        <f>(((1-Assumptions!$C$45)*Assumptions!$C$17)*Assumptions!$C$46/12)/((1-(1+Assumptions!$C$46/12)^-24))</f>
        <v>9.6737809861805726</v>
      </c>
      <c r="H36" s="17">
        <f>(((1-Assumptions!$C$45)*Assumptions!$C$17)*Assumptions!$C$46/12)/((1-(1+Assumptions!$C$46/12)^-24))</f>
        <v>9.6737809861805726</v>
      </c>
      <c r="I36" s="17">
        <f>(((1-Assumptions!$C$45)*Assumptions!$C$17)*Assumptions!$C$46/12)/((1-(1+Assumptions!$C$46/12)^-24))</f>
        <v>9.6737809861805726</v>
      </c>
      <c r="J36" s="17">
        <f>(((1-Assumptions!$C$45)*Assumptions!$C$17)*Assumptions!$C$46/12)/((1-(1+Assumptions!$C$46/12)^-24))</f>
        <v>9.6737809861805726</v>
      </c>
      <c r="K36" s="17">
        <f>(((1-Assumptions!$C$45)*Assumptions!$C$17)*Assumptions!$C$46/12)/((1-(1+Assumptions!$C$46/12)^-24))</f>
        <v>9.6737809861805726</v>
      </c>
      <c r="L36" s="17">
        <f>(((1-Assumptions!$C$45)*Assumptions!$C$17)*Assumptions!$C$46/12)/((1-(1+Assumptions!$C$46/12)^-24))</f>
        <v>9.6737809861805726</v>
      </c>
      <c r="M36" s="44"/>
      <c r="N36" s="10"/>
    </row>
    <row r="37" spans="1:14" x14ac:dyDescent="0.3">
      <c r="A37" t="s">
        <v>126</v>
      </c>
      <c r="B37" s="17">
        <f>Assumptions!$B$111</f>
        <v>0.55259999999999998</v>
      </c>
      <c r="C37" s="17">
        <f>Assumptions!$B$111</f>
        <v>0.55259999999999998</v>
      </c>
      <c r="D37" s="17">
        <f>Assumptions!$B$111</f>
        <v>0.55259999999999998</v>
      </c>
      <c r="E37" s="17">
        <f>Assumptions!$B$111</f>
        <v>0.55259999999999998</v>
      </c>
      <c r="F37" s="17">
        <f>Assumptions!$B$111</f>
        <v>0.55259999999999998</v>
      </c>
      <c r="G37" s="17">
        <f>Assumptions!$B$111</f>
        <v>0.55259999999999998</v>
      </c>
      <c r="H37" s="17">
        <f>Assumptions!$B$111</f>
        <v>0.55259999999999998</v>
      </c>
      <c r="I37" s="17">
        <f>Assumptions!$B$111</f>
        <v>0.55259999999999998</v>
      </c>
      <c r="J37" s="17">
        <f>Assumptions!$B$111</f>
        <v>0.55259999999999998</v>
      </c>
      <c r="K37" s="17">
        <f>Assumptions!$B$111</f>
        <v>0.55259999999999998</v>
      </c>
      <c r="L37" s="17">
        <f>Assumptions!$B$111</f>
        <v>0.55259999999999998</v>
      </c>
      <c r="M37" s="44"/>
      <c r="N37" s="10"/>
    </row>
    <row r="38" spans="1:14" x14ac:dyDescent="0.3">
      <c r="A38" t="s">
        <v>127</v>
      </c>
      <c r="B38" s="17">
        <f>(B36-B37)*12*(B31)</f>
        <v>0</v>
      </c>
      <c r="C38" s="17">
        <f>(C36-C37)*12*(C31+B31)</f>
        <v>1861079.7710453251</v>
      </c>
      <c r="D38" s="17">
        <f>(D36-D37)*12*(D31+C31)</f>
        <v>7387148.847241126</v>
      </c>
      <c r="E38" s="17">
        <f t="shared" ref="E38:L38" si="13">(E36-E37)*12*(E31+D31)</f>
        <v>18113774.808481671</v>
      </c>
      <c r="F38" s="17">
        <f t="shared" si="13"/>
        <v>38226972.428473771</v>
      </c>
      <c r="G38" s="17">
        <f t="shared" si="13"/>
        <v>53139613.163421124</v>
      </c>
      <c r="H38" s="17">
        <f t="shared" si="13"/>
        <v>58665682.23961693</v>
      </c>
      <c r="I38" s="17">
        <f t="shared" si="13"/>
        <v>69392308.20085746</v>
      </c>
      <c r="J38" s="17">
        <f t="shared" si="13"/>
        <v>89505505.820849568</v>
      </c>
      <c r="K38" s="17">
        <f t="shared" si="13"/>
        <v>76917800.088563696</v>
      </c>
      <c r="L38" s="17">
        <f t="shared" si="13"/>
        <v>51278533.392375797</v>
      </c>
      <c r="M38" s="44"/>
      <c r="N38" s="10"/>
    </row>
    <row r="39" spans="1:14" x14ac:dyDescent="0.3">
      <c r="A39" t="s">
        <v>123</v>
      </c>
      <c r="B39" s="17">
        <f>((Assumptions!$C$45*Assumptions!$C$17)-(5*Assumptions!$B$111))*B31</f>
        <v>0</v>
      </c>
      <c r="C39" s="17">
        <f>((Assumptions!$C$45*Assumptions!$C$17)-(5*Assumptions!$B$111))*C31</f>
        <v>427411.41265629703</v>
      </c>
      <c r="D39" s="17">
        <f>((Assumptions!$C$45*Assumptions!$C$17)-(5*Assumptions!$B$111))*D31</f>
        <v>1269104.6493759365</v>
      </c>
      <c r="E39" s="17">
        <f>((Assumptions!$C$45*Assumptions!$C$17)-(5*Assumptions!$B$111))*E31</f>
        <v>2890864.3105159206</v>
      </c>
      <c r="F39" s="17">
        <f>((Assumptions!$C$45*Assumptions!$C$17)-(5*Assumptions!$B$111))*F31</f>
        <v>5888256.574802313</v>
      </c>
      <c r="G39" s="17">
        <f>((Assumptions!$C$45*Assumptions!$C$17)-(5*Assumptions!$B$111))*G31</f>
        <v>6315667.9874586109</v>
      </c>
      <c r="H39" s="17">
        <f>((Assumptions!$C$45*Assumptions!$C$17)-(5*Assumptions!$B$111))*H31</f>
        <v>7157361.224178249</v>
      </c>
      <c r="I39" s="17">
        <f>((Assumptions!$C$45*Assumptions!$C$17)-(5*Assumptions!$B$111))*I31</f>
        <v>8779120.8853182327</v>
      </c>
      <c r="J39" s="17">
        <f>((Assumptions!$C$45*Assumptions!$C$17)-(5*Assumptions!$B$111))*J31</f>
        <v>11776513.149604626</v>
      </c>
      <c r="K39" s="17">
        <f>((Assumptions!$C$45*Assumptions!$C$17)-(5*Assumptions!$B$111))*K31</f>
        <v>5888256.574802313</v>
      </c>
      <c r="L39" s="17">
        <f>((Assumptions!$C$45*Assumptions!$C$17)-(5*Assumptions!$B$111))*L31</f>
        <v>5888256.574802313</v>
      </c>
      <c r="M39" s="44"/>
      <c r="N39" s="10"/>
    </row>
    <row r="40" spans="1:14" x14ac:dyDescent="0.3">
      <c r="A40" t="s">
        <v>129</v>
      </c>
      <c r="B40" s="17">
        <f>B38+B39</f>
        <v>0</v>
      </c>
      <c r="C40" s="17">
        <f t="shared" ref="C40:L40" si="14">C38+C39</f>
        <v>2288491.1837016223</v>
      </c>
      <c r="D40" s="17">
        <f t="shared" si="14"/>
        <v>8656253.496617062</v>
      </c>
      <c r="E40" s="17">
        <f t="shared" si="14"/>
        <v>21004639.118997592</v>
      </c>
      <c r="F40" s="17">
        <f t="shared" si="14"/>
        <v>44115229.00327608</v>
      </c>
      <c r="G40" s="17">
        <f t="shared" si="14"/>
        <v>59455281.150879733</v>
      </c>
      <c r="H40" s="17">
        <f t="shared" si="14"/>
        <v>65823043.463795178</v>
      </c>
      <c r="I40" s="17">
        <f t="shared" si="14"/>
        <v>78171429.086175695</v>
      </c>
      <c r="J40" s="17">
        <f t="shared" si="14"/>
        <v>101282018.97045419</v>
      </c>
      <c r="K40" s="17">
        <f t="shared" si="14"/>
        <v>82806056.663366005</v>
      </c>
      <c r="L40" s="17">
        <f t="shared" si="14"/>
        <v>57166789.967178106</v>
      </c>
      <c r="M40" s="53">
        <f>SUM(B40:L40)</f>
        <v>520769232.10444123</v>
      </c>
      <c r="N40" s="10"/>
    </row>
    <row r="41" spans="1:14" x14ac:dyDescent="0.3">
      <c r="A41" t="s">
        <v>163</v>
      </c>
      <c r="B41" s="17">
        <f>(Assumptions!$C$45*Assumptions!$C$17*B31)+(B36*12*Assumptions!$C$44)*(B31)</f>
        <v>0</v>
      </c>
      <c r="C41" s="17">
        <f>(Assumptions!$C$45*Assumptions!$C$17*C31)+(C36*12*Assumptions!$C$44)*(C31+B31)</f>
        <v>2448223.3829607135</v>
      </c>
      <c r="D41" s="17">
        <f>(Assumptions!$C$45*Assumptions!$C$17*D31)+(D36*12*Assumptions!$C$44)*(D31+C31)</f>
        <v>9243295.4450108185</v>
      </c>
      <c r="E41" s="17">
        <f>(Assumptions!$C$45*Assumptions!$C$17*E31)+(E36*12*Assumptions!$C$44)*(E31+D31)</f>
        <v>22419805.775988888</v>
      </c>
      <c r="F41" s="17">
        <f>(Assumptions!$C$45*Assumptions!$C$17*F31)+(F36*12*Assumptions!$C$44)*(F31+E31)</f>
        <v>47078405.171112373</v>
      </c>
      <c r="G41" s="17">
        <f>(Assumptions!$C$45*Assumptions!$C$17*G31)+(G36*12*Assumptions!$C$44)*(G31+F31)</f>
        <v>63368908.680283114</v>
      </c>
      <c r="H41" s="17">
        <f>(Assumptions!$C$45*Assumptions!$C$17*H31)+(H36*12*Assumptions!$C$44)*(H31+G31)</f>
        <v>70163980.742333218</v>
      </c>
      <c r="I41" s="17">
        <f>(Assumptions!$C$45*Assumptions!$C$17*I31)+(I36*12*Assumptions!$C$44)*(I31+H31)</f>
        <v>83340491.073311284</v>
      </c>
      <c r="J41" s="17">
        <f>(Assumptions!$C$45*Assumptions!$C$17*J31)+(J36*12*Assumptions!$C$44)*(J31+I31)</f>
        <v>107999090.46843478</v>
      </c>
      <c r="K41" s="17">
        <f>(Assumptions!$C$45*Assumptions!$C$17*K31)+(K36*12*Assumptions!$C$44)*(K31+J31)</f>
        <v>88113287.992190689</v>
      </c>
      <c r="L41" s="17">
        <f>(Assumptions!$C$45*Assumptions!$C$17*L31)+(L36*12*Assumptions!$C$44)*(L31+K31)</f>
        <v>60920685.297322392</v>
      </c>
      <c r="M41" s="53">
        <f>SUM(B41:L41)</f>
        <v>555096174.02894831</v>
      </c>
      <c r="N41" s="10"/>
    </row>
    <row r="42" spans="1:14" x14ac:dyDescent="0.3">
      <c r="A42" t="s">
        <v>164</v>
      </c>
      <c r="B42" s="17">
        <f>B41-B35</f>
        <v>0</v>
      </c>
      <c r="C42" s="17">
        <f t="shared" ref="C42:L42" si="15">C41-C35</f>
        <v>122237.44827100029</v>
      </c>
      <c r="D42" s="17">
        <f t="shared" si="15"/>
        <v>180836.11294830032</v>
      </c>
      <c r="E42" s="17">
        <f t="shared" si="15"/>
        <v>286003.04909238592</v>
      </c>
      <c r="F42" s="17">
        <f t="shared" si="15"/>
        <v>452205.22148623317</v>
      </c>
      <c r="G42" s="17">
        <f t="shared" si="15"/>
        <v>-2576095.9394684955</v>
      </c>
      <c r="H42" s="17">
        <f t="shared" si="15"/>
        <v>-5268840.176946193</v>
      </c>
      <c r="I42" s="17">
        <f t="shared" si="15"/>
        <v>-8392188.983748138</v>
      </c>
      <c r="J42" s="17">
        <f t="shared" si="15"/>
        <v>-10907248.465448678</v>
      </c>
      <c r="K42" s="17">
        <f t="shared" si="15"/>
        <v>-19297108.00022769</v>
      </c>
      <c r="L42" s="17">
        <f t="shared" si="15"/>
        <v>-18831478.756621867</v>
      </c>
      <c r="M42" s="53">
        <f>SUM(B42:L42)</f>
        <v>-64231678.490663141</v>
      </c>
      <c r="N42" s="10"/>
    </row>
    <row r="43" spans="1:14" x14ac:dyDescent="0.3">
      <c r="A43" s="48" t="s">
        <v>117</v>
      </c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44"/>
      <c r="N43" s="10"/>
    </row>
    <row r="44" spans="1:14" x14ac:dyDescent="0.3">
      <c r="A44" t="s">
        <v>130</v>
      </c>
      <c r="B44" s="17">
        <f>((Assumptions!$C$16*(1-Assumptions!$C$96))*Assumptions!$C$24)*B31</f>
        <v>0</v>
      </c>
      <c r="C44" s="17">
        <f>((Assumptions!$C$16*(1-Assumptions!$C$96))*Assumptions!$C$24)*(C31+B31)</f>
        <v>1724762.5194329426</v>
      </c>
      <c r="D44" s="17">
        <f>((Assumptions!$C$16*(1-Assumptions!$C$96))*Assumptions!$C$24)*(D31+C31)</f>
        <v>6846067.3504808415</v>
      </c>
      <c r="E44" s="17">
        <f>((Assumptions!$C$16*(1-Assumptions!$C$96))*Assumptions!$C$24)*(E31+D31)</f>
        <v>16787007.392794307</v>
      </c>
      <c r="F44" s="17">
        <f>((Assumptions!$C$16*(1-Assumptions!$C$96))*Assumptions!$C$24)*(F31+E31)</f>
        <v>35426987.226342976</v>
      </c>
      <c r="G44" s="17">
        <f>((Assumptions!$C$16*(1-Assumptions!$C$96))*(Assumptions!$C$24*F31+Assumptions!$C$26*G31))</f>
        <v>49247331.848626077</v>
      </c>
      <c r="H44" s="17">
        <f>((Assumptions!$C$16*(1-Assumptions!$C$96))*Assumptions!$C$26)*(H31+G31)</f>
        <v>54368636.679673985</v>
      </c>
      <c r="I44" s="17">
        <f>((Assumptions!$C$16*(1-Assumptions!$C$96))*Assumptions!$C$26)*(I31+H31)</f>
        <v>64309576.721987434</v>
      </c>
      <c r="J44" s="17">
        <f>((Assumptions!$C$16*(1-Assumptions!$C$96))*Assumptions!$C$26)*(J31+I31)</f>
        <v>82949556.555536121</v>
      </c>
      <c r="K44" s="17">
        <f>((Assumptions!$C$16*(1-Assumptions!$C$96))*Assumptions!$C$26)*(K31+J31)</f>
        <v>71283853.993789703</v>
      </c>
      <c r="L44" s="17">
        <f>((Assumptions!$C$16*(1-Assumptions!$C$96))*Assumptions!$C$26)*(L31+K31)</f>
        <v>47522569.329193138</v>
      </c>
      <c r="M44" s="44"/>
      <c r="N44" s="10"/>
    </row>
    <row r="45" spans="1:14" x14ac:dyDescent="0.3">
      <c r="A45" t="s">
        <v>131</v>
      </c>
      <c r="B45" s="17">
        <f>Assumptions!$C$29*(B4)</f>
        <v>0</v>
      </c>
      <c r="C45" s="17">
        <f>Assumptions!$C$29*(C4)</f>
        <v>170032.78539853485</v>
      </c>
      <c r="D45" s="17">
        <f>Assumptions!$C$29*(D4)</f>
        <v>504875.14396146574</v>
      </c>
      <c r="E45" s="17">
        <f>Assumptions!$C$29*(E4)</f>
        <v>1150043.4859036163</v>
      </c>
      <c r="F45" s="17">
        <f>Assumptions!$C$29*(F4)</f>
        <v>2342465.9166974234</v>
      </c>
      <c r="G45" s="17">
        <f>Assumptions!$C$29*(G4)</f>
        <v>4385839.8089690087</v>
      </c>
      <c r="H45" s="17">
        <f>Assumptions!$C$29*(H4)</f>
        <v>7472025.0696869334</v>
      </c>
      <c r="I45" s="17">
        <f>Assumptions!$C$29*(I4)</f>
        <v>11345709.154575124</v>
      </c>
      <c r="J45" s="17">
        <f>Assumptions!$C$29*(J4)</f>
        <v>15219393.239463318</v>
      </c>
      <c r="K45" s="17">
        <f>Assumptions!$C$29*(K4)</f>
        <v>18305578.500181243</v>
      </c>
      <c r="L45" s="17">
        <f>Assumptions!$C$29*(L4)</f>
        <v>20348952.392452829</v>
      </c>
      <c r="M45" s="44"/>
      <c r="N45" s="10"/>
    </row>
    <row r="46" spans="1:14" x14ac:dyDescent="0.3">
      <c r="A46" t="s">
        <v>115</v>
      </c>
      <c r="B46" s="17">
        <f>SUM(B44:B45)</f>
        <v>0</v>
      </c>
      <c r="C46" s="17">
        <f t="shared" ref="C46:L46" si="16">SUM(C44:C45)</f>
        <v>1894795.3048314773</v>
      </c>
      <c r="D46" s="17">
        <f>SUM(D44:D45)</f>
        <v>7350942.4944423074</v>
      </c>
      <c r="E46" s="17">
        <f t="shared" si="16"/>
        <v>17937050.878697924</v>
      </c>
      <c r="F46" s="17">
        <f t="shared" si="16"/>
        <v>37769453.143040396</v>
      </c>
      <c r="G46" s="17">
        <f t="shared" si="16"/>
        <v>53633171.657595083</v>
      </c>
      <c r="H46" s="17">
        <f t="shared" si="16"/>
        <v>61840661.749360919</v>
      </c>
      <c r="I46" s="17">
        <f t="shared" si="16"/>
        <v>75655285.876562566</v>
      </c>
      <c r="J46" s="17">
        <f t="shared" si="16"/>
        <v>98168949.794999436</v>
      </c>
      <c r="K46" s="17">
        <f t="shared" si="16"/>
        <v>89589432.493970945</v>
      </c>
      <c r="L46" s="17">
        <f t="shared" si="16"/>
        <v>67871521.721645966</v>
      </c>
      <c r="M46" s="44">
        <f>SUM(B46:L46)</f>
        <v>511711265.11514699</v>
      </c>
      <c r="N46" s="10"/>
    </row>
    <row r="47" spans="1:14" x14ac:dyDescent="0.3">
      <c r="A47" t="s">
        <v>124</v>
      </c>
      <c r="B47" s="17">
        <f>((((1-Assumptions!$C$45)*(1-Assumptions!$C$96)*Assumptions!$C$17)*Assumptions!$C$46/12)/((1-(1+Assumptions!$C$46/12)^-24)))</f>
        <v>7.7390247889444579</v>
      </c>
      <c r="C47" s="17">
        <f>((((1-Assumptions!$C$45)*(1-Assumptions!$C$96)*Assumptions!$C$17)*Assumptions!$C$46/12)/((1-(1+Assumptions!$C$46/12)^-24)))</f>
        <v>7.7390247889444579</v>
      </c>
      <c r="D47" s="17">
        <f>((((1-Assumptions!$C$45)*(1-Assumptions!$C$96)*Assumptions!$C$17)*Assumptions!$C$46/12)/((1-(1+Assumptions!$C$46/12)^-24)))</f>
        <v>7.7390247889444579</v>
      </c>
      <c r="E47" s="17">
        <f>((((1-Assumptions!$C$45)*(1-Assumptions!$C$96)*Assumptions!$C$17)*Assumptions!$C$46/12)/((1-(1+Assumptions!$C$46/12)^-24)))</f>
        <v>7.7390247889444579</v>
      </c>
      <c r="F47" s="17">
        <f>((((1-Assumptions!$C$45)*(1-Assumptions!$C$96)*Assumptions!$C$17)*Assumptions!$C$46/12)/((1-(1+Assumptions!$C$46/12)^-24)))</f>
        <v>7.7390247889444579</v>
      </c>
      <c r="G47" s="17">
        <f>((((1-Assumptions!$C$45)*(1-Assumptions!$C$96)*Assumptions!$C$17)*Assumptions!$C$46/12)/((1-(1+Assumptions!$C$46/12)^-24)))</f>
        <v>7.7390247889444579</v>
      </c>
      <c r="H47" s="17">
        <f>((((1-Assumptions!$C$45)*(1-Assumptions!$C$96)*Assumptions!$C$17)*Assumptions!$C$46/12)/((1-(1+Assumptions!$C$46/12)^-24)))</f>
        <v>7.7390247889444579</v>
      </c>
      <c r="I47" s="17">
        <f>((((1-Assumptions!$C$45)*(1-Assumptions!$C$96)*Assumptions!$C$17)*Assumptions!$C$46/12)/((1-(1+Assumptions!$C$46/12)^-24)))</f>
        <v>7.7390247889444579</v>
      </c>
      <c r="J47" s="17">
        <f>((((1-Assumptions!$C$45)*(1-Assumptions!$C$96)*Assumptions!$C$17)*Assumptions!$C$46/12)/((1-(1+Assumptions!$C$46/12)^-24)))</f>
        <v>7.7390247889444579</v>
      </c>
      <c r="K47" s="17">
        <f>((((1-Assumptions!$C$45)*(1-Assumptions!$C$96)*Assumptions!$C$17)*Assumptions!$C$46/12)/((1-(1+Assumptions!$C$46/12)^-24)))</f>
        <v>7.7390247889444579</v>
      </c>
      <c r="L47" s="17">
        <f>((((1-Assumptions!$C$45)*(1-Assumptions!$C$96)*Assumptions!$C$17)*Assumptions!$C$46/12)/((1-(1+Assumptions!$C$46/12)^-24)))</f>
        <v>7.7390247889444579</v>
      </c>
      <c r="M47" s="44"/>
      <c r="N47" s="10"/>
    </row>
    <row r="48" spans="1:14" x14ac:dyDescent="0.3">
      <c r="A48" t="s">
        <v>126</v>
      </c>
      <c r="B48" s="17">
        <f>Assumptions!$B$111</f>
        <v>0.55259999999999998</v>
      </c>
      <c r="C48" s="17">
        <f>Assumptions!$B$111</f>
        <v>0.55259999999999998</v>
      </c>
      <c r="D48" s="17">
        <f>Assumptions!$B$111</f>
        <v>0.55259999999999998</v>
      </c>
      <c r="E48" s="17">
        <f>Assumptions!$B$111</f>
        <v>0.55259999999999998</v>
      </c>
      <c r="F48" s="17">
        <f>Assumptions!$B$111</f>
        <v>0.55259999999999998</v>
      </c>
      <c r="G48" s="17">
        <f>Assumptions!$B$111</f>
        <v>0.55259999999999998</v>
      </c>
      <c r="H48" s="17">
        <f>Assumptions!$B$111</f>
        <v>0.55259999999999998</v>
      </c>
      <c r="I48" s="17">
        <f>Assumptions!$B$111</f>
        <v>0.55259999999999998</v>
      </c>
      <c r="J48" s="17">
        <f>Assumptions!$B$111</f>
        <v>0.55259999999999998</v>
      </c>
      <c r="K48" s="17">
        <f>Assumptions!$B$111</f>
        <v>0.55259999999999998</v>
      </c>
      <c r="L48" s="17">
        <f>Assumptions!$B$111</f>
        <v>0.55259999999999998</v>
      </c>
      <c r="M48" s="44"/>
      <c r="N48" s="10"/>
    </row>
    <row r="49" spans="1:14" x14ac:dyDescent="0.3">
      <c r="A49" t="s">
        <v>127</v>
      </c>
      <c r="B49" s="17">
        <f>(B47-B48)*12*(B31)</f>
        <v>0</v>
      </c>
      <c r="C49" s="17">
        <f t="shared" ref="C49:L49" si="17">(C47-C48)*12*(C31+B31)</f>
        <v>1466313.3887055649</v>
      </c>
      <c r="D49" s="17">
        <f t="shared" si="17"/>
        <v>5820210.0885694604</v>
      </c>
      <c r="E49" s="17">
        <f t="shared" si="17"/>
        <v>14271537.918418109</v>
      </c>
      <c r="F49" s="17">
        <f t="shared" si="17"/>
        <v>30118387.375768453</v>
      </c>
      <c r="G49" s="17">
        <f t="shared" si="17"/>
        <v>41867805.703134045</v>
      </c>
      <c r="H49" s="17">
        <f t="shared" si="17"/>
        <v>46221702.402997948</v>
      </c>
      <c r="I49" s="17">
        <f t="shared" si="17"/>
        <v>54673030.23284658</v>
      </c>
      <c r="J49" s="17">
        <f t="shared" si="17"/>
        <v>70519879.690196931</v>
      </c>
      <c r="K49" s="17">
        <f t="shared" si="17"/>
        <v>60602238.471642718</v>
      </c>
      <c r="L49" s="17">
        <f t="shared" si="17"/>
        <v>40401492.314428486</v>
      </c>
      <c r="M49" s="44"/>
      <c r="N49" s="10"/>
    </row>
    <row r="50" spans="1:14" x14ac:dyDescent="0.3">
      <c r="A50" t="s">
        <v>123</v>
      </c>
      <c r="B50" s="17">
        <f>((Assumptions!$C$45*Assumptions!$C$17)-(5*Assumptions!$B$111))*B31</f>
        <v>0</v>
      </c>
      <c r="C50" s="17">
        <f>((Assumptions!$C$45*Assumptions!$C$17)-(5*Assumptions!$B$111))*C31</f>
        <v>427411.41265629703</v>
      </c>
      <c r="D50" s="17">
        <f>((Assumptions!$C$45*Assumptions!$C$17)-(5*Assumptions!$B$111))*D31</f>
        <v>1269104.6493759365</v>
      </c>
      <c r="E50" s="17">
        <f>((Assumptions!$C$45*Assumptions!$C$17)-(5*Assumptions!$B$111))*E31</f>
        <v>2890864.3105159206</v>
      </c>
      <c r="F50" s="17">
        <f>((Assumptions!$C$45*Assumptions!$C$17)-(5*Assumptions!$B$111))*F31</f>
        <v>5888256.574802313</v>
      </c>
      <c r="G50" s="17">
        <f>((Assumptions!$C$45*Assumptions!$C$17)-(5*Assumptions!$B$111))*G31</f>
        <v>6315667.9874586109</v>
      </c>
      <c r="H50" s="17">
        <f>((Assumptions!$C$45*Assumptions!$C$17)-(5*Assumptions!$B$111))*H31</f>
        <v>7157361.224178249</v>
      </c>
      <c r="I50" s="17">
        <f>((Assumptions!$C$45*Assumptions!$C$17)-(5*Assumptions!$B$111))*I31</f>
        <v>8779120.8853182327</v>
      </c>
      <c r="J50" s="17">
        <f>((Assumptions!$C$45*Assumptions!$C$17)-(5*Assumptions!$B$111))*J31</f>
        <v>11776513.149604626</v>
      </c>
      <c r="K50" s="17">
        <f>((Assumptions!$C$45*Assumptions!$C$17)-(5*Assumptions!$B$111))*K31</f>
        <v>5888256.574802313</v>
      </c>
      <c r="L50" s="17">
        <f>((Assumptions!$C$45*Assumptions!$C$17)-(5*Assumptions!$B$111))*L31</f>
        <v>5888256.574802313</v>
      </c>
      <c r="M50" s="44"/>
      <c r="N50" s="10"/>
    </row>
    <row r="51" spans="1:14" x14ac:dyDescent="0.3">
      <c r="A51" t="s">
        <v>125</v>
      </c>
      <c r="B51" s="17">
        <f>B49+B50+(B31*Assumptions!$C$17*(Assumptions!$C$96))</f>
        <v>0</v>
      </c>
      <c r="C51" s="17">
        <f>C49+C50+(C31*Assumptions!$C$17*(Assumptions!$C$96))</f>
        <v>2526246.7630444113</v>
      </c>
      <c r="D51" s="17">
        <f>D49+D50+(D31*Assumptions!$C$17*(Assumptions!$C$96))</f>
        <v>8967450.2734820489</v>
      </c>
      <c r="E51" s="17">
        <f>E49+E50+(E31*Assumptions!$C$17*(Assumptions!$C$96))</f>
        <v>21440563.996495485</v>
      </c>
      <c r="F51" s="17">
        <f>F49+F50+(F31*Assumptions!$C$17*(Assumptions!$C$96))</f>
        <v>44720617.160685182</v>
      </c>
      <c r="G51" s="17">
        <f>G49+G50+(G31*Assumptions!$C$17*(Assumptions!$C$96))</f>
        <v>57529968.862389617</v>
      </c>
      <c r="H51" s="17">
        <f>H49+H50+(H31*Assumptions!$C$17*(Assumptions!$C$96))</f>
        <v>63971172.372827262</v>
      </c>
      <c r="I51" s="17">
        <f>I49+I50+(I31*Assumptions!$C$17*(Assumptions!$C$96))</f>
        <v>76444286.095840678</v>
      </c>
      <c r="J51" s="17">
        <f>J49+J50+(J31*Assumptions!$C$17*(Assumptions!$C$96))</f>
        <v>99724339.260030389</v>
      </c>
      <c r="K51" s="17">
        <f>K49+K50+(K31*Assumptions!$C$17*(Assumptions!$C$96))</f>
        <v>75204468.256559446</v>
      </c>
      <c r="L51" s="17">
        <f>L49+L50+(L31*Assumptions!$C$17*(Assumptions!$C$96))</f>
        <v>55003722.099345222</v>
      </c>
      <c r="M51" s="53">
        <f>SUM(B51:L51)</f>
        <v>505532835.14069968</v>
      </c>
      <c r="N51" s="10"/>
    </row>
    <row r="52" spans="1:14" x14ac:dyDescent="0.3">
      <c r="A52" t="s">
        <v>163</v>
      </c>
      <c r="B52" s="17">
        <f>(Assumptions!$C$45*Assumptions!$C$17*B31)+(B47*12*Assumptions!$C$44)*(B31)</f>
        <v>0</v>
      </c>
      <c r="C52" s="17">
        <f>(Assumptions!$C$45*Assumptions!$C$17*C31)+(C47*12*Assumptions!$C$44)*(C31+B31)</f>
        <v>2053457.0006209533</v>
      </c>
      <c r="D52" s="17">
        <f>(Assumptions!$C$45*Assumptions!$C$17*D31)+(D47*12*Assumptions!$C$44)*(D31+C31)</f>
        <v>7676356.686339153</v>
      </c>
      <c r="E52" s="17">
        <f>(Assumptions!$C$45*Assumptions!$C$17*E31)+(E47*12*Assumptions!$C$44)*(E31+D31)</f>
        <v>18577568.88592533</v>
      </c>
      <c r="F52" s="17">
        <f>(Assumptions!$C$45*Assumptions!$C$17*F31)+(F47*12*Assumptions!$C$44)*(F31+E31)</f>
        <v>38969820.118407063</v>
      </c>
      <c r="G52" s="17">
        <f>(Assumptions!$C$45*Assumptions!$C$17*G31)+(G47*12*Assumptions!$C$44)*(G31+F31)</f>
        <v>52097101.219996035</v>
      </c>
      <c r="H52" s="17">
        <f>(Assumptions!$C$45*Assumptions!$C$17*H31)+(H47*12*Assumptions!$C$44)*(H31+G31)</f>
        <v>57720000.905714236</v>
      </c>
      <c r="I52" s="17">
        <f>(Assumptions!$C$45*Assumptions!$C$17*I31)+(I47*12*Assumptions!$C$44)*(I31+H31)</f>
        <v>68621213.105300412</v>
      </c>
      <c r="J52" s="17">
        <f>(Assumptions!$C$45*Assumptions!$C$17*J31)+(J47*12*Assumptions!$C$44)*(J31+I31)</f>
        <v>89013464.337782145</v>
      </c>
      <c r="K52" s="17">
        <f>(Assumptions!$C$45*Assumptions!$C$17*K31)+(K47*12*Assumptions!$C$44)*(K31+J31)</f>
        <v>71797726.375269711</v>
      </c>
      <c r="L52" s="17">
        <f>(Assumptions!$C$45*Assumptions!$C$17*L31)+(L47*12*Assumptions!$C$44)*(L31+K31)</f>
        <v>50043644.219375074</v>
      </c>
      <c r="M52" s="53">
        <f t="shared" ref="M52:M53" si="18">SUM(B52:L52)</f>
        <v>456570352.85473013</v>
      </c>
      <c r="N52" s="10"/>
    </row>
    <row r="53" spans="1:14" x14ac:dyDescent="0.3">
      <c r="A53" t="s">
        <v>164</v>
      </c>
      <c r="B53" s="17">
        <f>B52-B46</f>
        <v>0</v>
      </c>
      <c r="C53" s="17">
        <f t="shared" ref="C53" si="19">C52-C46</f>
        <v>158661.69578947593</v>
      </c>
      <c r="D53" s="17">
        <f t="shared" ref="D53" si="20">D52-D46</f>
        <v>325414.19189684559</v>
      </c>
      <c r="E53" s="17">
        <f t="shared" ref="E53" si="21">E52-E46</f>
        <v>640518.00722740591</v>
      </c>
      <c r="F53" s="17">
        <f t="shared" ref="F53" si="22">F52-F46</f>
        <v>1200366.9753666669</v>
      </c>
      <c r="G53" s="17">
        <f t="shared" ref="G53" si="23">G52-G46</f>
        <v>-1536070.437599048</v>
      </c>
      <c r="H53" s="17">
        <f t="shared" ref="H53" si="24">H52-H46</f>
        <v>-4120660.8436466828</v>
      </c>
      <c r="I53" s="17">
        <f t="shared" ref="I53" si="25">I52-I46</f>
        <v>-7034072.771262154</v>
      </c>
      <c r="J53" s="17">
        <f t="shared" ref="J53" si="26">J52-J46</f>
        <v>-9155485.457217291</v>
      </c>
      <c r="K53" s="17">
        <f t="shared" ref="K53" si="27">K52-K46</f>
        <v>-17791706.118701234</v>
      </c>
      <c r="L53" s="17">
        <f t="shared" ref="L53" si="28">L52-L46</f>
        <v>-17827877.502270892</v>
      </c>
      <c r="M53" s="53">
        <f t="shared" si="18"/>
        <v>-55140912.26041691</v>
      </c>
      <c r="N53" s="10"/>
    </row>
    <row r="54" spans="1:14" x14ac:dyDescent="0.3">
      <c r="A54" s="98" t="s">
        <v>107</v>
      </c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113"/>
      <c r="M54" s="43"/>
    </row>
    <row r="55" spans="1:14" x14ac:dyDescent="0.3">
      <c r="A55" t="s">
        <v>204</v>
      </c>
      <c r="B55" s="17">
        <f>B$5*Assumptions!$C$88</f>
        <v>0</v>
      </c>
      <c r="C55" s="17">
        <f>C$5*Assumptions!$C$88</f>
        <v>14299757.252016779</v>
      </c>
      <c r="D55" s="17">
        <f>D$5*Assumptions!$C$88</f>
        <v>28160242.355142489</v>
      </c>
      <c r="E55" s="17">
        <f>E$5*Assumptions!$C$88</f>
        <v>54258657.55733487</v>
      </c>
      <c r="F55" s="17">
        <f>F$5*Assumptions!$C$88</f>
        <v>100282726.42975917</v>
      </c>
      <c r="G55" s="17">
        <f>G$5*Assumptions!$C$88</f>
        <v>171847744.34004033</v>
      </c>
      <c r="H55" s="17">
        <f>H$5*Assumptions!$C$88</f>
        <v>259548180.42637748</v>
      </c>
      <c r="I55" s="17">
        <f>I$5*Assumptions!$C$88</f>
        <v>325776831.53909689</v>
      </c>
      <c r="J55" s="17">
        <f>J$5*Assumptions!$C$88</f>
        <v>325776831.53909707</v>
      </c>
      <c r="K55" s="17">
        <f>K$5*Assumptions!$C$88</f>
        <v>259548180.42637727</v>
      </c>
      <c r="L55" s="17">
        <f>L$5*Assumptions!$C$88</f>
        <v>171847744.34004042</v>
      </c>
      <c r="M55" s="45">
        <f t="shared" si="7"/>
        <v>1711346896.2052827</v>
      </c>
    </row>
    <row r="56" spans="1:14" x14ac:dyDescent="0.3">
      <c r="A56" t="s">
        <v>167</v>
      </c>
      <c r="B56" s="17">
        <f>((Assumptions!$C$65-Assumptions!$C$76)/Assumptions!$C$60)*(Assumptions!$C$14)*(B4)</f>
        <v>0</v>
      </c>
      <c r="C56" s="17">
        <f>((Assumptions!$C$66-Assumptions!$C$77)/Assumptions!$C$60)*(Assumptions!$C$14)*(C4)</f>
        <v>29532.293623699592</v>
      </c>
      <c r="D56" s="17">
        <f>((Assumptions!$C$67-Assumptions!$C$78)/Assumptions!$C$60)*(Assumptions!$C$14)*(D4)</f>
        <v>93145.031589891529</v>
      </c>
      <c r="E56" s="17">
        <f>((Assumptions!$C$68-Assumptions!$C$79)/Assumptions!$C$60)*(Assumptions!$C$14)*(E4)</f>
        <v>1164419.7486101617</v>
      </c>
      <c r="F56" s="17">
        <f>((Assumptions!$C$69-Assumptions!$C$80)/Assumptions!$C$60)*(Assumptions!$C$14)*(F4)</f>
        <v>3732925.436359189</v>
      </c>
      <c r="G56" s="17">
        <f>((Assumptions!$C$70-Assumptions!$C$81)/Assumptions!$C$60)*(Assumptions!$C$14)*(G4)</f>
        <v>6878643.5916490229</v>
      </c>
      <c r="H56" s="17">
        <f>(((Assumptions!$C$70*(1+Assumptions!$C$71))-Assumptions!$C$81)/Assumptions!$C$60)*(Assumptions!$C$14)*(H4)</f>
        <v>11718940.864446435</v>
      </c>
      <c r="I56" s="17">
        <f>(((Assumptions!$C$70*(1+Assumptions!$C$71))-Assumptions!$C$81)/Assumptions!$C$60)*(Assumptions!$C$14)*(I4)</f>
        <v>17794331.979301732</v>
      </c>
      <c r="J56" s="17">
        <f>(((Assumptions!$C$70*(1+Assumptions!$C$71))-Assumptions!$C$81)/Assumptions!$C$60)*(Assumptions!$C$14)*(J4)</f>
        <v>23869723.094157033</v>
      </c>
      <c r="K56" s="17">
        <f>(((Assumptions!$C$70*(1+Assumptions!$C$71))-Assumptions!$C$81)/Assumptions!$C$60)*(Assumptions!$C$14)*(K4)</f>
        <v>28710020.366954442</v>
      </c>
      <c r="L56" s="17">
        <f>(((Assumptions!$C$70*(1+Assumptions!$C$71))-Assumptions!$C$81)/Assumptions!$C$60)*(Assumptions!$C$14)*(L4)</f>
        <v>31914797.864908922</v>
      </c>
      <c r="M56" s="45">
        <f t="shared" si="7"/>
        <v>125906480.27160053</v>
      </c>
    </row>
  </sheetData>
  <mergeCells count="7">
    <mergeCell ref="A54:L54"/>
    <mergeCell ref="A1:M1"/>
    <mergeCell ref="A2:L2"/>
    <mergeCell ref="A8:L8"/>
    <mergeCell ref="A12:L12"/>
    <mergeCell ref="A16:L16"/>
    <mergeCell ref="A29:L2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BE7FE-1362-4DB4-9930-2802282D03AC}">
  <sheetPr codeName="Sheet7"/>
  <dimension ref="A1:N60"/>
  <sheetViews>
    <sheetView zoomScale="62" workbookViewId="0">
      <selection activeCell="H13" sqref="H13"/>
    </sheetView>
  </sheetViews>
  <sheetFormatPr defaultRowHeight="14.4" x14ac:dyDescent="0.3"/>
  <cols>
    <col min="1" max="1" width="47.6640625" customWidth="1"/>
    <col min="2" max="2" width="16.6640625" bestFit="1" customWidth="1"/>
    <col min="3" max="3" width="19.109375" bestFit="1" customWidth="1"/>
    <col min="4" max="5" width="18" bestFit="1" customWidth="1"/>
    <col min="6" max="6" width="18.6640625" bestFit="1" customWidth="1"/>
    <col min="7" max="8" width="17.77734375" bestFit="1" customWidth="1"/>
    <col min="9" max="9" width="19.6640625" bestFit="1" customWidth="1"/>
    <col min="10" max="11" width="20.109375" bestFit="1" customWidth="1"/>
    <col min="12" max="12" width="19.33203125" bestFit="1" customWidth="1"/>
    <col min="13" max="13" width="30.21875" style="41" bestFit="1" customWidth="1"/>
    <col min="14" max="14" width="11.33203125" bestFit="1" customWidth="1"/>
  </cols>
  <sheetData>
    <row r="1" spans="1:13" ht="16.8" customHeight="1" x14ac:dyDescent="0.3">
      <c r="A1" s="99" t="s">
        <v>49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 x14ac:dyDescent="0.3">
      <c r="A2" s="39" t="s">
        <v>51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40" t="s">
        <v>111</v>
      </c>
    </row>
    <row r="3" spans="1:13" x14ac:dyDescent="0.3">
      <c r="A3" t="s">
        <v>50</v>
      </c>
      <c r="B3">
        <v>2020</v>
      </c>
      <c r="C3">
        <v>2021</v>
      </c>
      <c r="D3">
        <v>2022</v>
      </c>
      <c r="E3">
        <v>2023</v>
      </c>
      <c r="F3">
        <v>2024</v>
      </c>
      <c r="G3">
        <v>2025</v>
      </c>
      <c r="H3">
        <v>2026</v>
      </c>
      <c r="I3">
        <v>2027</v>
      </c>
      <c r="J3">
        <v>2028</v>
      </c>
      <c r="K3">
        <v>2029</v>
      </c>
      <c r="L3">
        <v>2030</v>
      </c>
    </row>
    <row r="4" spans="1:13" x14ac:dyDescent="0.3">
      <c r="A4" t="s">
        <v>119</v>
      </c>
      <c r="B4" s="16">
        <f>Assumptions!$B$107*(1/(1+EXP(-Assumptions!$B$114*(B$3-Assumptions!$B$115))) - 1/(1+EXP(-Assumptions!$B$114*($B$3-Assumptions!$B$115)))) / (1/(1+EXP(-Assumptions!$B$114*($L$3-Assumptions!$B$115))) - 1/(1+EXP(-Assumptions!$B$114*($B$3-Assumptions!$B$115))))</f>
        <v>0</v>
      </c>
      <c r="C4" s="50">
        <f>Assumptions!$B$107*(1/(1+EXP(-Assumptions!$B$114*(C$3-Assumptions!$B$115))) - 1/(1+EXP(-Assumptions!$B$114*($B$3-Assumptions!$B$115)))) / (1/(1+EXP(-Assumptions!$B$114*($L$3-Assumptions!$B$115))) - 1/(1+EXP(-Assumptions!$B$114*($B$3-Assumptions!$B$115))))</f>
        <v>14192.513735923407</v>
      </c>
      <c r="D4" s="50">
        <f>Assumptions!$B$107*(1/(1+EXP(-Assumptions!$B$114*(D$3-Assumptions!$B$115))) - 1/(1+EXP(-Assumptions!$B$114*($B$3-Assumptions!$B$115)))) / (1/(1+EXP(-Assumptions!$B$114*($L$3-Assumptions!$B$115))) - 1/(1+EXP(-Assumptions!$B$114*($B$3-Assumptions!$B$115))))</f>
        <v>42141.563456744698</v>
      </c>
      <c r="E4" s="50">
        <f>Assumptions!$B$107*(1/(1+EXP(-Assumptions!$B$114*(E$3-Assumptions!$B$115))) - 1/(1+EXP(-Assumptions!$B$114*($B$3-Assumptions!$B$115)))) / (1/(1+EXP(-Assumptions!$B$114*($L$3-Assumptions!$B$115))) - 1/(1+EXP(-Assumptions!$B$114*($B$3-Assumptions!$B$115))))</f>
        <v>95993.298776701427</v>
      </c>
      <c r="F4" s="50">
        <f>Assumptions!$B$107*(1/(1+EXP(-Assumptions!$B$114*(F$3-Assumptions!$B$115))) - 1/(1+EXP(-Assumptions!$B$114*($B$3-Assumptions!$B$115)))) / (1/(1+EXP(-Assumptions!$B$114*($L$3-Assumptions!$B$115))) - 1/(1+EXP(-Assumptions!$B$114*($B$3-Assumptions!$B$115))))</f>
        <v>195523.93746145777</v>
      </c>
      <c r="G4" s="50">
        <f>Assumptions!$B$107*(1/(1+EXP(-Assumptions!$B$114*(G$3-Assumptions!$B$115))) - 1/(1+EXP(-Assumptions!$B$114*($B$3-Assumptions!$B$115)))) / (1/(1+EXP(-Assumptions!$B$114*($L$3-Assumptions!$B$115))) - 1/(1+EXP(-Assumptions!$B$114*($B$3-Assumptions!$B$115))))</f>
        <v>366082.87976025074</v>
      </c>
      <c r="H4" s="50">
        <f>Assumptions!$B$107*(1/(1+EXP(-Assumptions!$B$114*(H$3-Assumptions!$B$115))) - 1/(1+EXP(-Assumptions!$B$114*($B$3-Assumptions!$B$115)))) / (1/(1+EXP(-Assumptions!$B$114*($L$3-Assumptions!$B$115))) - 1/(1+EXP(-Assumptions!$B$114*($B$3-Assumptions!$B$115))))</f>
        <v>623684.53347474046</v>
      </c>
      <c r="I4" s="50">
        <f>Assumptions!$B$107*(1/(1+EXP(-Assumptions!$B$114*(I$3-Assumptions!$B$115))) - 1/(1+EXP(-Assumptions!$B$114*($B$3-Assumptions!$B$115)))) / (1/(1+EXP(-Assumptions!$B$114*($L$3-Assumptions!$B$115))) - 1/(1+EXP(-Assumptions!$B$114*($B$3-Assumptions!$B$115))))</f>
        <v>947018.14501644298</v>
      </c>
      <c r="J4" s="50">
        <f>Assumptions!$B$107*(1/(1+EXP(-Assumptions!$B$114*(J$3-Assumptions!$B$115))) - 1/(1+EXP(-Assumptions!$B$114*($B$3-Assumptions!$B$115)))) / (1/(1+EXP(-Assumptions!$B$114*($L$3-Assumptions!$B$115))) - 1/(1+EXP(-Assumptions!$B$114*($B$3-Assumptions!$B$115))))</f>
        <v>1270351.7565581459</v>
      </c>
      <c r="K4" s="50">
        <f>Assumptions!$B$107*(1/(1+EXP(-Assumptions!$B$114*(K$3-Assumptions!$B$115))) - 1/(1+EXP(-Assumptions!$B$114*($B$3-Assumptions!$B$115)))) / (1/(1+EXP(-Assumptions!$B$114*($L$3-Assumptions!$B$115))) - 1/(1+EXP(-Assumptions!$B$114*($B$3-Assumptions!$B$115))))</f>
        <v>1527953.4102726355</v>
      </c>
      <c r="L4" s="50">
        <f>Assumptions!$B$107*(1/(1+EXP(-Assumptions!$B$114*(L$3-Assumptions!$B$115))) - 1/(1+EXP(-Assumptions!$B$114*($B$3-Assumptions!$B$115)))) / (1/(1+EXP(-Assumptions!$B$114*($L$3-Assumptions!$B$115))) - 1/(1+EXP(-Assumptions!$B$114*($B$3-Assumptions!$B$115))))</f>
        <v>1698512.3525714285</v>
      </c>
      <c r="M4" s="42">
        <f>L4</f>
        <v>1698512.3525714285</v>
      </c>
    </row>
    <row r="5" spans="1:13" x14ac:dyDescent="0.3">
      <c r="A5" t="s">
        <v>120</v>
      </c>
      <c r="B5" s="16">
        <f>B4</f>
        <v>0</v>
      </c>
      <c r="C5" s="50">
        <f>C4-B4</f>
        <v>14192.513735923407</v>
      </c>
      <c r="D5" s="50">
        <f t="shared" ref="D5:L5" si="0">D4-C4</f>
        <v>27949.049720821291</v>
      </c>
      <c r="E5" s="50">
        <f t="shared" si="0"/>
        <v>53851.73531995673</v>
      </c>
      <c r="F5" s="50">
        <f t="shared" si="0"/>
        <v>99530.638684756341</v>
      </c>
      <c r="G5" s="50">
        <f t="shared" si="0"/>
        <v>170558.94229879297</v>
      </c>
      <c r="H5" s="50">
        <f t="shared" si="0"/>
        <v>257601.65371448972</v>
      </c>
      <c r="I5" s="50">
        <f t="shared" si="0"/>
        <v>323333.61154170253</v>
      </c>
      <c r="J5" s="50">
        <f t="shared" si="0"/>
        <v>323333.61154170288</v>
      </c>
      <c r="K5" s="50">
        <f t="shared" si="0"/>
        <v>257601.65371448966</v>
      </c>
      <c r="L5" s="50">
        <f t="shared" si="0"/>
        <v>170558.942298793</v>
      </c>
      <c r="M5" s="42">
        <f>SUM(B5:L5)</f>
        <v>1698512.3525714285</v>
      </c>
    </row>
    <row r="6" spans="1:13" x14ac:dyDescent="0.3">
      <c r="A6" t="s">
        <v>146</v>
      </c>
      <c r="B6" s="16">
        <f>B4</f>
        <v>0</v>
      </c>
      <c r="C6" s="16">
        <f t="shared" ref="C6:E6" si="1">C4</f>
        <v>14192.513735923407</v>
      </c>
      <c r="D6" s="16">
        <f t="shared" si="1"/>
        <v>42141.563456744698</v>
      </c>
      <c r="E6" s="16">
        <f t="shared" si="1"/>
        <v>95993.298776701427</v>
      </c>
      <c r="F6" s="16">
        <f>$F$4</f>
        <v>195523.93746145777</v>
      </c>
      <c r="G6" s="16">
        <f>$F$4</f>
        <v>195523.93746145777</v>
      </c>
      <c r="H6" s="16">
        <f>$F$4</f>
        <v>195523.93746145777</v>
      </c>
      <c r="I6" s="16">
        <f t="shared" ref="I6:L6" si="2">$F$4</f>
        <v>195523.93746145777</v>
      </c>
      <c r="J6" s="16">
        <f t="shared" si="2"/>
        <v>195523.93746145777</v>
      </c>
      <c r="K6" s="16">
        <f t="shared" si="2"/>
        <v>195523.93746145777</v>
      </c>
      <c r="L6" s="16">
        <f t="shared" si="2"/>
        <v>195523.93746145777</v>
      </c>
      <c r="M6" s="42"/>
    </row>
    <row r="7" spans="1:13" x14ac:dyDescent="0.3">
      <c r="A7" t="s">
        <v>147</v>
      </c>
      <c r="B7" s="16">
        <f>IF(B$3&gt;=2025, B4-$F4, 0)</f>
        <v>0</v>
      </c>
      <c r="C7" s="16">
        <f t="shared" ref="C7:L7" si="3">IF(C$3&gt;=2025, C4-$F4, 0)</f>
        <v>0</v>
      </c>
      <c r="D7" s="16">
        <f t="shared" si="3"/>
        <v>0</v>
      </c>
      <c r="E7" s="16">
        <f t="shared" si="3"/>
        <v>0</v>
      </c>
      <c r="F7" s="16">
        <f t="shared" si="3"/>
        <v>0</v>
      </c>
      <c r="G7" s="16">
        <f>IF(G$3&gt;=2025, G4-$F4, 0)</f>
        <v>170558.94229879297</v>
      </c>
      <c r="H7" s="16">
        <f t="shared" si="3"/>
        <v>428160.59601328266</v>
      </c>
      <c r="I7" s="16">
        <f t="shared" si="3"/>
        <v>751494.20755498519</v>
      </c>
      <c r="J7" s="16">
        <f t="shared" si="3"/>
        <v>1074827.8190966882</v>
      </c>
      <c r="K7" s="16">
        <f t="shared" si="3"/>
        <v>1332429.4728111778</v>
      </c>
      <c r="L7" s="16">
        <f t="shared" si="3"/>
        <v>1502988.4151099708</v>
      </c>
      <c r="M7" s="42"/>
    </row>
    <row r="8" spans="1:13" x14ac:dyDescent="0.3">
      <c r="A8" s="98" t="s">
        <v>67</v>
      </c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43"/>
    </row>
    <row r="9" spans="1:13" x14ac:dyDescent="0.3">
      <c r="A9" t="s">
        <v>109</v>
      </c>
      <c r="B9" s="17">
        <f>(Assumptions!$B$27*B6)+(Assumptions!$B$28*B7)+Assumptions!$B$29*B4</f>
        <v>0</v>
      </c>
      <c r="C9" s="17">
        <f>(Assumptions!$B$27*C6)+(Assumptions!$B$28*C7)+Assumptions!$B$29*C4</f>
        <v>1185100.8471689988</v>
      </c>
      <c r="D9" s="17">
        <f>(Assumptions!$B$27*D6)+(Assumptions!$B$28*D7)+Assumptions!$B$29*D4</f>
        <v>3518897.6021353756</v>
      </c>
      <c r="E9" s="17">
        <f>(Assumptions!$B$27*E6)+(Assumptions!$B$28*E7)+Assumptions!$B$29*E4</f>
        <v>8015615.9662447562</v>
      </c>
      <c r="F9" s="17">
        <f>(Assumptions!$B$27*F6)+(Assumptions!$B$28*F7)+Assumptions!$B$29*F4</f>
        <v>16326606.282640727</v>
      </c>
      <c r="G9" s="17">
        <f>(Assumptions!$B$27*G6)+(Assumptions!$B$28*G7)+Assumptions!$B$29*G4</f>
        <v>27502189.01084828</v>
      </c>
      <c r="H9" s="17">
        <f>(Assumptions!$B$27*H6)+(Assumptions!$B$28*H7)+Assumptions!$B$29*H4</f>
        <v>44381096.403261952</v>
      </c>
      <c r="I9" s="17">
        <f>(Assumptions!$B$27*I6)+(Assumptions!$B$28*I7)+Assumptions!$B$29*I4</f>
        <v>65566977.811134592</v>
      </c>
      <c r="J9" s="17">
        <f>(Assumptions!$B$27*J6)+(Assumptions!$B$28*J7)+Assumptions!$B$29*J4</f>
        <v>86752859.219007254</v>
      </c>
      <c r="K9" s="17">
        <f>(Assumptions!$B$27*K6)+(Assumptions!$B$28*K7)+Assumptions!$B$29*K4</f>
        <v>103631766.61142093</v>
      </c>
      <c r="L9" s="17">
        <f>(Assumptions!$B$27*L6)+(Assumptions!$B$28*L7)+Assumptions!$B$29*L4</f>
        <v>114807349.33962849</v>
      </c>
      <c r="M9" s="42">
        <f>SUM(B9:L9)</f>
        <v>471688459.09349132</v>
      </c>
    </row>
    <row r="10" spans="1:13" x14ac:dyDescent="0.3">
      <c r="A10" t="s">
        <v>65</v>
      </c>
      <c r="B10" s="16">
        <f>B$4*Assumptions!$B$108*12</f>
        <v>0</v>
      </c>
      <c r="C10" s="16">
        <f>C$4*Assumptions!$B$108*12</f>
        <v>140889.08385651166</v>
      </c>
      <c r="D10" s="16">
        <f>D$4*Assumptions!$B$108*12</f>
        <v>418339.30043510452</v>
      </c>
      <c r="E10" s="16">
        <f>E$4*Assumptions!$B$108*12</f>
        <v>952925.47695631487</v>
      </c>
      <c r="F10" s="16">
        <f>F$4*Assumptions!$B$108*12</f>
        <v>1940966.1271798911</v>
      </c>
      <c r="G10" s="16">
        <f>G$4*Assumptions!$B$108*12</f>
        <v>3634104.7473800085</v>
      </c>
      <c r="H10" s="16">
        <f>H$4*Assumptions!$B$108*12</f>
        <v>6191316.363803748</v>
      </c>
      <c r="I10" s="16">
        <f>I$4*Assumptions!$B$108*12</f>
        <v>9401049.1255782284</v>
      </c>
      <c r="J10" s="16">
        <f>J$4*Assumptions!$B$108*12</f>
        <v>12610781.887352712</v>
      </c>
      <c r="K10" s="16">
        <f>K$4*Assumptions!$B$108*12</f>
        <v>15167993.503776452</v>
      </c>
      <c r="L10" s="16">
        <f>L$4*Assumptions!$B$108*12</f>
        <v>16861132.12397657</v>
      </c>
      <c r="M10" s="42">
        <f>SUM(B10:L10)</f>
        <v>67319497.740295544</v>
      </c>
    </row>
    <row r="11" spans="1:13" x14ac:dyDescent="0.3">
      <c r="A11" t="s">
        <v>66</v>
      </c>
      <c r="B11" s="17">
        <f>B9-B10</f>
        <v>0</v>
      </c>
      <c r="C11" s="17">
        <f t="shared" ref="C11:L11" si="4">C9-C10</f>
        <v>1044211.7633124872</v>
      </c>
      <c r="D11" s="17">
        <f t="shared" si="4"/>
        <v>3100558.3017002712</v>
      </c>
      <c r="E11" s="17">
        <f t="shared" si="4"/>
        <v>7062690.4892884418</v>
      </c>
      <c r="F11" s="17">
        <f t="shared" si="4"/>
        <v>14385640.155460836</v>
      </c>
      <c r="G11" s="17">
        <f t="shared" si="4"/>
        <v>23868084.263468273</v>
      </c>
      <c r="H11" s="17">
        <f t="shared" si="4"/>
        <v>38189780.0394582</v>
      </c>
      <c r="I11" s="17">
        <f t="shared" si="4"/>
        <v>56165928.685556367</v>
      </c>
      <c r="J11" s="17">
        <f t="shared" si="4"/>
        <v>74142077.331654549</v>
      </c>
      <c r="K11" s="17">
        <f t="shared" si="4"/>
        <v>88463773.107644483</v>
      </c>
      <c r="L11" s="17">
        <f t="shared" si="4"/>
        <v>97946217.215651914</v>
      </c>
      <c r="M11" s="52">
        <f>SUM(C11:L11)</f>
        <v>404368961.35319585</v>
      </c>
    </row>
    <row r="12" spans="1:13" x14ac:dyDescent="0.3">
      <c r="A12" s="98" t="s">
        <v>68</v>
      </c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43"/>
    </row>
    <row r="13" spans="1:13" x14ac:dyDescent="0.3">
      <c r="A13" t="s">
        <v>73</v>
      </c>
      <c r="B13" s="19">
        <f>Assumptions!$B$52</f>
        <v>1555727358.9625704</v>
      </c>
      <c r="C13" s="19">
        <f>Assumptions!$B$53</f>
        <v>1560239457.7499735</v>
      </c>
      <c r="D13" s="19">
        <f>Assumptions!$B$54</f>
        <v>1467188485.1427855</v>
      </c>
      <c r="E13" s="19">
        <f>Assumptions!$B$55</f>
        <v>1441705910.5135214</v>
      </c>
      <c r="F13" s="19">
        <f>Assumptions!$B$56</f>
        <v>1758884516.5554073</v>
      </c>
      <c r="G13" s="19">
        <f>Assumptions!$B$57</f>
        <v>1695936334.1067283</v>
      </c>
      <c r="H13" s="19">
        <f>G13*Assumptions!$B$58+G13</f>
        <v>1711129280.932405</v>
      </c>
      <c r="I13" s="19">
        <f>H13*Assumptions!$B$58+H13</f>
        <v>1726458332.8869157</v>
      </c>
      <c r="J13" s="19">
        <f>I13*Assumptions!$B$58+I13</f>
        <v>1741924709.2601261</v>
      </c>
      <c r="K13" s="19">
        <f>J13*Assumptions!$B$58+J13</f>
        <v>1757529640.2648392</v>
      </c>
      <c r="L13" s="19">
        <f>K13*Assumptions!$B$58+K13</f>
        <v>1773274367.1346476</v>
      </c>
    </row>
    <row r="14" spans="1:13" x14ac:dyDescent="0.3">
      <c r="A14" t="s">
        <v>71</v>
      </c>
      <c r="B14" s="20">
        <f>B13*Assumptions!$B$59</f>
        <v>77786367.948128521</v>
      </c>
      <c r="C14" s="20">
        <f>C13*Assumptions!$B$59</f>
        <v>78011972.887498677</v>
      </c>
      <c r="D14" s="20">
        <f>D13*Assumptions!$B$59</f>
        <v>73359424.25713928</v>
      </c>
      <c r="E14" s="20">
        <f>E13*Assumptions!$B$59</f>
        <v>72085295.525676072</v>
      </c>
      <c r="F14" s="20">
        <f>F13*Assumptions!$B$59</f>
        <v>87944225.827770367</v>
      </c>
      <c r="G14" s="20">
        <f>G13*Assumptions!$B$59</f>
        <v>84796816.705336422</v>
      </c>
      <c r="H14" s="20">
        <f>H13*Assumptions!$B$59</f>
        <v>85556464.04662025</v>
      </c>
      <c r="I14" s="20">
        <f>I13*Assumptions!$B$59</f>
        <v>86322916.64434579</v>
      </c>
      <c r="J14" s="20">
        <f>J13*Assumptions!$B$59</f>
        <v>87096235.463006318</v>
      </c>
      <c r="K14" s="20">
        <f>K13*Assumptions!$B$59</f>
        <v>87876482.013241962</v>
      </c>
      <c r="L14" s="20">
        <f>L13*Assumptions!$B$59</f>
        <v>88663718.356732383</v>
      </c>
      <c r="M14" s="56">
        <f>SUM(B14:L14)</f>
        <v>909499919.6754961</v>
      </c>
    </row>
    <row r="15" spans="1:13" x14ac:dyDescent="0.3">
      <c r="A15" t="s">
        <v>72</v>
      </c>
      <c r="B15" s="8">
        <f>B11/B14</f>
        <v>0</v>
      </c>
      <c r="C15" s="8">
        <f>C11/C14</f>
        <v>1.3385275678367324E-2</v>
      </c>
      <c r="D15" s="8">
        <f t="shared" ref="D15:K15" si="5">D11/D14</f>
        <v>4.2265303103145982E-2</v>
      </c>
      <c r="E15" s="8">
        <f t="shared" si="5"/>
        <v>9.797685419452544E-2</v>
      </c>
      <c r="F15" s="8">
        <f t="shared" si="5"/>
        <v>0.16357685817410705</v>
      </c>
      <c r="G15" s="8">
        <f t="shared" si="5"/>
        <v>0.28147382402818677</v>
      </c>
      <c r="H15" s="8">
        <f t="shared" si="5"/>
        <v>0.44636931253550116</v>
      </c>
      <c r="I15" s="8">
        <f t="shared" si="5"/>
        <v>0.65064910766352413</v>
      </c>
      <c r="J15" s="8">
        <f t="shared" si="5"/>
        <v>0.85126615332468669</v>
      </c>
      <c r="K15" s="8">
        <f t="shared" si="5"/>
        <v>1.0066831429860155</v>
      </c>
      <c r="L15" s="8">
        <f>L11/L14</f>
        <v>1.1046933179767178</v>
      </c>
    </row>
    <row r="16" spans="1:13" x14ac:dyDescent="0.3">
      <c r="A16" s="98" t="s">
        <v>106</v>
      </c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43"/>
    </row>
    <row r="17" spans="1:14" x14ac:dyDescent="0.3">
      <c r="A17" t="s">
        <v>81</v>
      </c>
      <c r="G17" s="10">
        <v>0</v>
      </c>
      <c r="H17" s="10">
        <v>61930</v>
      </c>
      <c r="I17" s="10">
        <v>77760</v>
      </c>
      <c r="J17" s="10">
        <v>77720</v>
      </c>
      <c r="K17" s="10">
        <v>61980</v>
      </c>
      <c r="L17" s="10">
        <v>40888</v>
      </c>
      <c r="M17" s="44">
        <f>SUM(B17:L17)</f>
        <v>320278</v>
      </c>
      <c r="N17" s="10"/>
    </row>
    <row r="18" spans="1:14" x14ac:dyDescent="0.3">
      <c r="A18" t="s">
        <v>87</v>
      </c>
      <c r="G18" s="10">
        <v>0</v>
      </c>
      <c r="H18" s="10">
        <v>38485</v>
      </c>
      <c r="I18" s="10">
        <v>48322</v>
      </c>
      <c r="J18" s="10">
        <v>48306</v>
      </c>
      <c r="K18" s="10">
        <v>38497</v>
      </c>
      <c r="L18" s="10">
        <v>25438</v>
      </c>
      <c r="M18" s="44">
        <f t="shared" ref="M18:M27" si="6">SUM(B18:L18)</f>
        <v>199048</v>
      </c>
      <c r="N18" s="10"/>
    </row>
    <row r="19" spans="1:14" x14ac:dyDescent="0.3">
      <c r="A19" t="s">
        <v>82</v>
      </c>
      <c r="G19" s="10">
        <v>0</v>
      </c>
      <c r="H19" s="10">
        <v>1697</v>
      </c>
      <c r="I19" s="10">
        <v>2355</v>
      </c>
      <c r="J19" s="10">
        <v>2644</v>
      </c>
      <c r="K19" s="10">
        <v>2357</v>
      </c>
      <c r="L19" s="10">
        <v>1695</v>
      </c>
      <c r="M19" s="44">
        <f t="shared" si="6"/>
        <v>10748</v>
      </c>
      <c r="N19" s="10"/>
    </row>
    <row r="20" spans="1:14" x14ac:dyDescent="0.3">
      <c r="A20" t="s">
        <v>89</v>
      </c>
      <c r="G20" s="16">
        <f>G17*Assumptions!$B$88</f>
        <v>0</v>
      </c>
      <c r="H20" s="16">
        <f>H17*Assumptions!$B$88</f>
        <v>71529150</v>
      </c>
      <c r="I20" s="16">
        <f>I17*Assumptions!$B$88</f>
        <v>89812800</v>
      </c>
      <c r="J20" s="16">
        <f>J17*Assumptions!$B$88</f>
        <v>89766600</v>
      </c>
      <c r="K20" s="16">
        <f>K17*Assumptions!$B$88</f>
        <v>71586900</v>
      </c>
      <c r="L20" s="16">
        <f>L17*Assumptions!$B$88</f>
        <v>47225640</v>
      </c>
      <c r="M20" s="44">
        <f t="shared" si="6"/>
        <v>369921090</v>
      </c>
      <c r="N20" s="10"/>
    </row>
    <row r="21" spans="1:14" x14ac:dyDescent="0.3">
      <c r="A21" t="s">
        <v>90</v>
      </c>
      <c r="G21" s="16">
        <f>G18*Assumptions!$B$89</f>
        <v>0</v>
      </c>
      <c r="H21" s="16">
        <f>H18*Assumptions!$B$89</f>
        <v>51454445</v>
      </c>
      <c r="I21" s="16">
        <f>I18*Assumptions!$B$89</f>
        <v>64606514</v>
      </c>
      <c r="J21" s="16">
        <f>J18*Assumptions!$B$89</f>
        <v>64585122</v>
      </c>
      <c r="K21" s="16">
        <f>K18*Assumptions!$B$89</f>
        <v>51470489</v>
      </c>
      <c r="L21" s="16">
        <f>L18*Assumptions!$B$89</f>
        <v>34010606</v>
      </c>
      <c r="M21" s="44">
        <f t="shared" si="6"/>
        <v>266127176</v>
      </c>
      <c r="N21" s="10"/>
    </row>
    <row r="22" spans="1:14" x14ac:dyDescent="0.3">
      <c r="A22" t="s">
        <v>91</v>
      </c>
      <c r="G22" s="16">
        <f>G19*Assumptions!$B$91</f>
        <v>0</v>
      </c>
      <c r="H22" s="16">
        <f>H19*Assumptions!$B$91</f>
        <v>354673</v>
      </c>
      <c r="I22" s="16">
        <f>I19*Assumptions!$B$91</f>
        <v>492195</v>
      </c>
      <c r="J22" s="16">
        <f>J19*Assumptions!$B$91</f>
        <v>552596</v>
      </c>
      <c r="K22" s="16">
        <f>K19*Assumptions!$B$91</f>
        <v>492613</v>
      </c>
      <c r="L22" s="16">
        <f>L19*Assumptions!$B$91</f>
        <v>354255</v>
      </c>
      <c r="M22" s="44">
        <f t="shared" si="6"/>
        <v>2246332</v>
      </c>
      <c r="N22" s="10"/>
    </row>
    <row r="23" spans="1:14" x14ac:dyDescent="0.3">
      <c r="A23" t="s">
        <v>105</v>
      </c>
      <c r="G23" s="16">
        <f>SUM(G21:G22)</f>
        <v>0</v>
      </c>
      <c r="H23" s="16">
        <f t="shared" ref="H23:L23" si="7">SUM(H21:H22)</f>
        <v>51809118</v>
      </c>
      <c r="I23" s="16">
        <f t="shared" si="7"/>
        <v>65098709</v>
      </c>
      <c r="J23" s="16">
        <f t="shared" si="7"/>
        <v>65137718</v>
      </c>
      <c r="K23" s="16">
        <f t="shared" si="7"/>
        <v>51963102</v>
      </c>
      <c r="L23" s="16">
        <f t="shared" si="7"/>
        <v>34364861</v>
      </c>
      <c r="M23" s="44">
        <f t="shared" si="6"/>
        <v>268373508</v>
      </c>
      <c r="N23" s="10"/>
    </row>
    <row r="24" spans="1:14" x14ac:dyDescent="0.3">
      <c r="A24" t="s">
        <v>92</v>
      </c>
      <c r="G24" s="17">
        <f>SUM(G20:G22)</f>
        <v>0</v>
      </c>
      <c r="H24" s="17">
        <f t="shared" ref="H24:L24" si="8">SUM(H20:H22)</f>
        <v>123338268</v>
      </c>
      <c r="I24" s="17">
        <f t="shared" si="8"/>
        <v>154911509</v>
      </c>
      <c r="J24" s="17">
        <f t="shared" si="8"/>
        <v>154904318</v>
      </c>
      <c r="K24" s="17">
        <f t="shared" si="8"/>
        <v>123550002</v>
      </c>
      <c r="L24" s="17">
        <f t="shared" si="8"/>
        <v>81590501</v>
      </c>
      <c r="M24" s="44">
        <f t="shared" si="6"/>
        <v>638294598</v>
      </c>
      <c r="N24" s="10"/>
    </row>
    <row r="25" spans="1:14" x14ac:dyDescent="0.3">
      <c r="A25" t="s">
        <v>148</v>
      </c>
      <c r="G25" s="17">
        <f>(G21+G22)*Assumptions!$B$94</f>
        <v>0</v>
      </c>
      <c r="H25" s="17">
        <f>(H21+H22)*Assumptions!$B$94</f>
        <v>25904559</v>
      </c>
      <c r="I25" s="17">
        <f>(I21+I22)*Assumptions!$B$94</f>
        <v>32549354.5</v>
      </c>
      <c r="J25" s="17">
        <f>(J21+J22)*Assumptions!$B$94</f>
        <v>32568859</v>
      </c>
      <c r="K25" s="17">
        <f>(K21+K22)*Assumptions!$B$94</f>
        <v>25981551</v>
      </c>
      <c r="L25" s="17">
        <f>(L21+L22)*Assumptions!$B$94</f>
        <v>17182430.5</v>
      </c>
      <c r="M25" s="44">
        <f t="shared" si="6"/>
        <v>134186754</v>
      </c>
      <c r="N25" s="10"/>
    </row>
    <row r="26" spans="1:14" x14ac:dyDescent="0.3">
      <c r="A26" t="s">
        <v>103</v>
      </c>
      <c r="G26" s="17">
        <v>0</v>
      </c>
      <c r="H26" s="8">
        <f t="shared" ref="H26:L26" si="9">(H25*(H22/(H21+H22)))/H25</f>
        <v>6.8457640988985758E-3</v>
      </c>
      <c r="I26" s="8">
        <f t="shared" si="9"/>
        <v>7.5607490157754125E-3</v>
      </c>
      <c r="J26" s="8">
        <f t="shared" si="9"/>
        <v>8.4835025998301009E-3</v>
      </c>
      <c r="K26" s="8">
        <f t="shared" si="9"/>
        <v>9.4800537504477703E-3</v>
      </c>
      <c r="L26" s="8">
        <f t="shared" si="9"/>
        <v>1.0308640561648132E-2</v>
      </c>
      <c r="M26" s="44"/>
      <c r="N26" s="10"/>
    </row>
    <row r="27" spans="1:14" x14ac:dyDescent="0.3">
      <c r="A27" t="s">
        <v>149</v>
      </c>
      <c r="G27" s="17">
        <f>G20*Assumptions!$B$92+(G21+G22)*Assumptions!$B$94</f>
        <v>0</v>
      </c>
      <c r="H27" s="17">
        <f>H20*Assumptions!$B$92+(H21+H22)*Assumptions!$B$94</f>
        <v>97433709</v>
      </c>
      <c r="I27" s="17">
        <f>I20*Assumptions!$B$92+(I21+I22)*Assumptions!$B$94</f>
        <v>122362154.5</v>
      </c>
      <c r="J27" s="17">
        <f>J20*Assumptions!$B$92+(J21+J22)*Assumptions!$B$94</f>
        <v>122335459</v>
      </c>
      <c r="K27" s="17">
        <f>K20*Assumptions!$B$92+(K21+K22)*Assumptions!$B$94</f>
        <v>97568451</v>
      </c>
      <c r="L27" s="17">
        <f>L20*Assumptions!$B$92+(L21+L22)*Assumptions!$B$94</f>
        <v>64408070.5</v>
      </c>
      <c r="M27" s="44">
        <f t="shared" si="6"/>
        <v>504107844</v>
      </c>
      <c r="N27" s="10"/>
    </row>
    <row r="28" spans="1:14" x14ac:dyDescent="0.3">
      <c r="A28" s="98" t="s">
        <v>151</v>
      </c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46"/>
    </row>
    <row r="29" spans="1:14" x14ac:dyDescent="0.3">
      <c r="A29" t="s">
        <v>144</v>
      </c>
      <c r="B29" s="51">
        <v>0</v>
      </c>
      <c r="C29" s="50">
        <v>0</v>
      </c>
      <c r="D29" s="50">
        <v>0</v>
      </c>
      <c r="E29" s="50">
        <v>0</v>
      </c>
      <c r="F29" s="50">
        <v>0</v>
      </c>
      <c r="G29" s="50">
        <f>C5</f>
        <v>14192.513735923407</v>
      </c>
      <c r="H29" s="50">
        <f>D5</f>
        <v>27949.049720821291</v>
      </c>
      <c r="I29" s="50">
        <f>E5</f>
        <v>53851.73531995673</v>
      </c>
      <c r="J29" s="50">
        <f>F5+B5</f>
        <v>99530.638684756341</v>
      </c>
      <c r="K29" s="50">
        <v>0</v>
      </c>
      <c r="L29" s="50">
        <v>0</v>
      </c>
      <c r="M29" s="45"/>
    </row>
    <row r="30" spans="1:14" x14ac:dyDescent="0.3">
      <c r="A30" t="s">
        <v>145</v>
      </c>
      <c r="B30" s="51">
        <f>B5+B29</f>
        <v>0</v>
      </c>
      <c r="C30" s="50">
        <f>C5+C29</f>
        <v>14192.513735923407</v>
      </c>
      <c r="D30" s="50">
        <f t="shared" ref="D30:L30" si="10">D5+D29</f>
        <v>27949.049720821291</v>
      </c>
      <c r="E30" s="50">
        <f t="shared" si="10"/>
        <v>53851.73531995673</v>
      </c>
      <c r="F30" s="50">
        <f t="shared" si="10"/>
        <v>99530.638684756341</v>
      </c>
      <c r="G30" s="50">
        <f t="shared" si="10"/>
        <v>184751.45603471639</v>
      </c>
      <c r="H30" s="50">
        <f t="shared" si="10"/>
        <v>285550.70343531098</v>
      </c>
      <c r="I30" s="50">
        <f t="shared" si="10"/>
        <v>377185.34686165926</v>
      </c>
      <c r="J30" s="50">
        <f t="shared" si="10"/>
        <v>422864.25022645923</v>
      </c>
      <c r="K30" s="50">
        <f t="shared" si="10"/>
        <v>257601.65371448966</v>
      </c>
      <c r="L30" s="50">
        <f t="shared" si="10"/>
        <v>170558.942298793</v>
      </c>
      <c r="M30" s="45">
        <f>SUM(B30:L30)</f>
        <v>1894036.2900328862</v>
      </c>
    </row>
    <row r="31" spans="1:14" x14ac:dyDescent="0.3">
      <c r="A31" s="48" t="s">
        <v>128</v>
      </c>
      <c r="G31" s="17"/>
      <c r="H31" s="17"/>
      <c r="I31" s="17"/>
      <c r="J31" s="17"/>
      <c r="K31" s="17"/>
      <c r="L31" s="17"/>
      <c r="M31" s="44"/>
      <c r="N31" s="10"/>
    </row>
    <row r="32" spans="1:14" x14ac:dyDescent="0.3">
      <c r="A32" t="s">
        <v>130</v>
      </c>
      <c r="B32" s="17">
        <f>(Assumptions!$B$16*Assumptions!$B$24)*B30</f>
        <v>0</v>
      </c>
      <c r="C32" s="17">
        <f>(Assumptions!$B$16*Assumptions!$B$24)*(C30+B30)</f>
        <v>1829229.9375189452</v>
      </c>
      <c r="D32" s="17">
        <f>(Assumptions!$B$16*Assumptions!$B$24)*(D30+C30)</f>
        <v>5431497.9659884954</v>
      </c>
      <c r="E32" s="17">
        <f>(Assumptions!$B$16*Assumptions!$B$24)*(E30+D30)</f>
        <v>10543054.436537243</v>
      </c>
      <c r="F32" s="17">
        <f>(Assumptions!$B$16*Assumptions!$B$24)*(F30+E30)</f>
        <v>19768987.766203772</v>
      </c>
      <c r="G32" s="17">
        <f>(Assumptions!$B$16*(Assumptions!$B$24*F30+G30*Assumptions!$B$26))</f>
        <v>36640254.717190325</v>
      </c>
      <c r="H32" s="17">
        <f>(Assumptions!$B$16*Assumptions!$B$26)*(H30+G30)</f>
        <v>60615815.195926614</v>
      </c>
      <c r="I32" s="17">
        <f>(Assumptions!$B$16*Assumptions!$B$26)*(I30+H30)</f>
        <v>85418034.213894933</v>
      </c>
      <c r="J32" s="17">
        <f>(Assumptions!$B$16*Assumptions!$B$26)*(J30+I30)</f>
        <v>103115959.70411357</v>
      </c>
      <c r="K32" s="17">
        <f>(Assumptions!$B$16*Assumptions!$B$26)*(K30+J30)</f>
        <v>87703181.135493815</v>
      </c>
      <c r="L32" s="17">
        <f>(Assumptions!$B$16*Assumptions!$B$26)*(L30+K30)</f>
        <v>55184317.229938112</v>
      </c>
      <c r="M32" s="44">
        <f>SUM(B32:L32)</f>
        <v>466250332.30280578</v>
      </c>
      <c r="N32" s="10"/>
    </row>
    <row r="33" spans="1:14" x14ac:dyDescent="0.3">
      <c r="A33" t="s">
        <v>131</v>
      </c>
      <c r="B33" s="17">
        <f>Assumptions!$B$29*(B4)</f>
        <v>0</v>
      </c>
      <c r="C33" s="17">
        <f>Assumptions!$B$29*(C4)</f>
        <v>141925.13735923407</v>
      </c>
      <c r="D33" s="17">
        <f>Assumptions!$B$29*(D4)</f>
        <v>421415.63456744701</v>
      </c>
      <c r="E33" s="17">
        <f>Assumptions!$B$29*(E4)</f>
        <v>959932.9877670143</v>
      </c>
      <c r="F33" s="17">
        <f>Assumptions!$B$29*(F4)</f>
        <v>1955239.3746145777</v>
      </c>
      <c r="G33" s="17">
        <f>Assumptions!$B$29*(G4)</f>
        <v>3660828.7976025073</v>
      </c>
      <c r="H33" s="17">
        <f>Assumptions!$B$29*(H4)</f>
        <v>6236845.3347474048</v>
      </c>
      <c r="I33" s="17">
        <f>Assumptions!$B$29*(I4)</f>
        <v>9470181.4501644298</v>
      </c>
      <c r="J33" s="17">
        <f>Assumptions!$B$29*(J4)</f>
        <v>12703517.56558146</v>
      </c>
      <c r="K33" s="17">
        <f>Assumptions!$B$29*(K4)</f>
        <v>15279534.102726355</v>
      </c>
      <c r="L33" s="17">
        <f>Assumptions!$B$29*(L4)</f>
        <v>16985123.525714286</v>
      </c>
      <c r="M33" s="44">
        <f>SUM(B33:L33)</f>
        <v>67814543.910844713</v>
      </c>
      <c r="N33" s="10"/>
    </row>
    <row r="34" spans="1:14" x14ac:dyDescent="0.3">
      <c r="A34" t="s">
        <v>115</v>
      </c>
      <c r="B34" s="17">
        <f>SUM(B32:B33)</f>
        <v>0</v>
      </c>
      <c r="C34" s="17">
        <f t="shared" ref="C34:L34" si="11">SUM(C32:C33)</f>
        <v>1971155.0748781792</v>
      </c>
      <c r="D34" s="17">
        <f t="shared" si="11"/>
        <v>5852913.6005559424</v>
      </c>
      <c r="E34" s="17">
        <f t="shared" si="11"/>
        <v>11502987.424304258</v>
      </c>
      <c r="F34" s="17">
        <f t="shared" si="11"/>
        <v>21724227.14081835</v>
      </c>
      <c r="G34" s="17">
        <f t="shared" si="11"/>
        <v>40301083.51479283</v>
      </c>
      <c r="H34" s="17">
        <f t="shared" si="11"/>
        <v>66852660.530674018</v>
      </c>
      <c r="I34" s="17">
        <f t="shared" si="11"/>
        <v>94888215.664059371</v>
      </c>
      <c r="J34" s="17">
        <f t="shared" si="11"/>
        <v>115819477.26969503</v>
      </c>
      <c r="K34" s="17">
        <f t="shared" si="11"/>
        <v>102982715.23822017</v>
      </c>
      <c r="L34" s="17">
        <f t="shared" si="11"/>
        <v>72169440.755652398</v>
      </c>
      <c r="M34" s="44">
        <f>SUM(B34:L34)</f>
        <v>534064876.21365058</v>
      </c>
      <c r="N34" s="10"/>
    </row>
    <row r="35" spans="1:14" x14ac:dyDescent="0.3">
      <c r="A35" t="s">
        <v>124</v>
      </c>
      <c r="B35" s="17">
        <f>(((1-Assumptions!$B$45)*Assumptions!$B$17)*Assumptions!$B$46/12)/((1-(1+Assumptions!$B$46/12)^-24))</f>
        <v>9.6737809861805726</v>
      </c>
      <c r="C35" s="17">
        <f>(((1-Assumptions!$B$45)*Assumptions!$B$17)*Assumptions!$B$46/12)/((1-(1+Assumptions!$B$46/12)^-24))</f>
        <v>9.6737809861805726</v>
      </c>
      <c r="D35" s="17">
        <f>(((1-Assumptions!$B$45)*Assumptions!$B$17)*Assumptions!$B$46/12)/((1-(1+Assumptions!$B$46/12)^-24))</f>
        <v>9.6737809861805726</v>
      </c>
      <c r="E35" s="17">
        <f>(((1-Assumptions!$B$45)*Assumptions!$B$17)*Assumptions!$B$46/12)/((1-(1+Assumptions!$B$46/12)^-24))</f>
        <v>9.6737809861805726</v>
      </c>
      <c r="F35" s="17">
        <f>(((1-Assumptions!$B$45)*Assumptions!$B$17)*Assumptions!$B$46/12)/((1-(1+Assumptions!$B$46/12)^-24))</f>
        <v>9.6737809861805726</v>
      </c>
      <c r="G35" s="17">
        <f>(((1-Assumptions!$B$45)*Assumptions!$B$17)*Assumptions!$B$46/12)/((1-(1+Assumptions!$B$46/12)^-24))</f>
        <v>9.6737809861805726</v>
      </c>
      <c r="H35" s="17">
        <f>(((1-Assumptions!$B$45)*Assumptions!$B$17)*Assumptions!$B$46/12)/((1-(1+Assumptions!$B$46/12)^-24))</f>
        <v>9.6737809861805726</v>
      </c>
      <c r="I35" s="17">
        <f>(((1-Assumptions!$B$45)*Assumptions!$B$17)*Assumptions!$B$46/12)/((1-(1+Assumptions!$B$46/12)^-24))</f>
        <v>9.6737809861805726</v>
      </c>
      <c r="J35" s="17">
        <f>(((1-Assumptions!$B$45)*Assumptions!$B$17)*Assumptions!$B$46/12)/((1-(1+Assumptions!$B$46/12)^-24))</f>
        <v>9.6737809861805726</v>
      </c>
      <c r="K35" s="17">
        <f>(((1-Assumptions!$B$45)*Assumptions!$B$17)*Assumptions!$B$46/12)/((1-(1+Assumptions!$B$46/12)^-24))</f>
        <v>9.6737809861805726</v>
      </c>
      <c r="L35" s="17">
        <f>(((1-Assumptions!$B$45)*Assumptions!$B$17)*Assumptions!$B$46/12)/((1-(1+Assumptions!$B$46/12)^-24))</f>
        <v>9.6737809861805726</v>
      </c>
      <c r="M35" s="44"/>
      <c r="N35" s="10"/>
    </row>
    <row r="36" spans="1:14" x14ac:dyDescent="0.3">
      <c r="A36" t="s">
        <v>126</v>
      </c>
      <c r="B36" s="17">
        <f>Assumptions!$B$108</f>
        <v>0.82724999999999993</v>
      </c>
      <c r="C36" s="17">
        <f>Assumptions!$B$108</f>
        <v>0.82724999999999993</v>
      </c>
      <c r="D36" s="17">
        <f>Assumptions!$B$108</f>
        <v>0.82724999999999993</v>
      </c>
      <c r="E36" s="17">
        <f>Assumptions!$B$108</f>
        <v>0.82724999999999993</v>
      </c>
      <c r="F36" s="17">
        <f>Assumptions!$B$108</f>
        <v>0.82724999999999993</v>
      </c>
      <c r="G36" s="17">
        <f>Assumptions!$B$108</f>
        <v>0.82724999999999993</v>
      </c>
      <c r="H36" s="17">
        <f>Assumptions!$B$108</f>
        <v>0.82724999999999993</v>
      </c>
      <c r="I36" s="17">
        <f>Assumptions!$B$108</f>
        <v>0.82724999999999993</v>
      </c>
      <c r="J36" s="17">
        <f>Assumptions!$B$108</f>
        <v>0.82724999999999993</v>
      </c>
      <c r="K36" s="17">
        <f>Assumptions!$B$108</f>
        <v>0.82724999999999993</v>
      </c>
      <c r="L36" s="17">
        <f>Assumptions!$B$108</f>
        <v>0.82724999999999993</v>
      </c>
      <c r="M36" s="44"/>
      <c r="N36" s="10"/>
    </row>
    <row r="37" spans="1:14" x14ac:dyDescent="0.3">
      <c r="A37" t="s">
        <v>127</v>
      </c>
      <c r="B37" s="17">
        <f>(B35-B36)*12*(B30)</f>
        <v>0</v>
      </c>
      <c r="C37" s="17">
        <f>(C35-C36)*12*(C30+B30)</f>
        <v>1506654.1504396778</v>
      </c>
      <c r="D37" s="17">
        <f t="shared" ref="D37:L37" si="12">(D35-D36)*12*(D30+C30)</f>
        <v>4473679.7631142419</v>
      </c>
      <c r="E37" s="17">
        <f t="shared" si="12"/>
        <v>8683838.1546856686</v>
      </c>
      <c r="F37" s="17">
        <f t="shared" si="12"/>
        <v>16282823.092399582</v>
      </c>
      <c r="G37" s="17">
        <f t="shared" si="12"/>
        <v>30178924.317025635</v>
      </c>
      <c r="H37" s="17">
        <f t="shared" si="12"/>
        <v>49926511.519430809</v>
      </c>
      <c r="I37" s="17">
        <f t="shared" si="12"/>
        <v>70354980.055332884</v>
      </c>
      <c r="J37" s="17">
        <f t="shared" si="12"/>
        <v>84931962.613455877</v>
      </c>
      <c r="K37" s="17">
        <f t="shared" si="12"/>
        <v>72237152.451035723</v>
      </c>
      <c r="L37" s="17">
        <f t="shared" si="12"/>
        <v>45452831.756316565</v>
      </c>
      <c r="M37" s="44"/>
      <c r="N37" s="10"/>
    </row>
    <row r="38" spans="1:14" x14ac:dyDescent="0.3">
      <c r="A38" t="s">
        <v>123</v>
      </c>
      <c r="B38" s="17">
        <f>((Assumptions!$B$45*Assumptions!$B$17)-(5*Assumptions!$B$108))*B30</f>
        <v>0</v>
      </c>
      <c r="C38" s="17">
        <f>((Assumptions!$B$45*Assumptions!$B$17)-(5*Assumptions!$B$108))*C30</f>
        <v>337267.34829204984</v>
      </c>
      <c r="D38" s="17">
        <f>((Assumptions!$B$45*Assumptions!$B$17)-(5*Assumptions!$B$108))*D30</f>
        <v>664174.2303031669</v>
      </c>
      <c r="E38" s="17">
        <f>((Assumptions!$B$45*Assumptions!$B$17)-(5*Assumptions!$B$108))*E30</f>
        <v>1279719.1752096217</v>
      </c>
      <c r="F38" s="17">
        <f>((Assumptions!$B$45*Assumptions!$B$17)-(5*Assumptions!$B$108))*F30</f>
        <v>2365221.2150448784</v>
      </c>
      <c r="G38" s="17">
        <f>((Assumptions!$B$45*Assumptions!$B$17)-(5*Assumptions!$B$108))*G30</f>
        <v>4390387.4133449914</v>
      </c>
      <c r="H38" s="17">
        <f>((Assumptions!$B$45*Assumptions!$B$17)-(5*Assumptions!$B$108))*H30</f>
        <v>6785755.5287608709</v>
      </c>
      <c r="I38" s="17">
        <f>((Assumptions!$B$45*Assumptions!$B$17)-(5*Assumptions!$B$108))*I30</f>
        <v>8963338.2864837553</v>
      </c>
      <c r="J38" s="17">
        <f>((Assumptions!$B$45*Assumptions!$B$17)-(5*Assumptions!$B$108))*J30</f>
        <v>10048840.32631902</v>
      </c>
      <c r="K38" s="17">
        <f>((Assumptions!$B$45*Assumptions!$B$17)-(5*Assumptions!$B$108))*K30</f>
        <v>6121581.2984577036</v>
      </c>
      <c r="L38" s="17">
        <f>((Assumptions!$B$45*Assumptions!$B$17)-(5*Assumptions!$B$108))*L30</f>
        <v>4053120.0650529419</v>
      </c>
      <c r="M38" s="44"/>
      <c r="N38" s="10"/>
    </row>
    <row r="39" spans="1:14" x14ac:dyDescent="0.3">
      <c r="A39" t="s">
        <v>129</v>
      </c>
      <c r="B39" s="17">
        <f>B37+B38</f>
        <v>0</v>
      </c>
      <c r="C39" s="17">
        <f t="shared" ref="C39:L39" si="13">C37+C38</f>
        <v>1843921.4987317277</v>
      </c>
      <c r="D39" s="17">
        <f t="shared" si="13"/>
        <v>5137853.9934174083</v>
      </c>
      <c r="E39" s="17">
        <f t="shared" si="13"/>
        <v>9963557.3298952896</v>
      </c>
      <c r="F39" s="17">
        <f t="shared" si="13"/>
        <v>18648044.307444461</v>
      </c>
      <c r="G39" s="17">
        <f t="shared" si="13"/>
        <v>34569311.730370626</v>
      </c>
      <c r="H39" s="17">
        <f t="shared" si="13"/>
        <v>56712267.048191682</v>
      </c>
      <c r="I39" s="17">
        <f t="shared" si="13"/>
        <v>79318318.341816634</v>
      </c>
      <c r="J39" s="17">
        <f t="shared" si="13"/>
        <v>94980802.939774901</v>
      </c>
      <c r="K39" s="17">
        <f t="shared" si="13"/>
        <v>78358733.74949342</v>
      </c>
      <c r="L39" s="17">
        <f t="shared" si="13"/>
        <v>49505951.821369506</v>
      </c>
      <c r="M39" s="53">
        <f>SUM(B39:L39)</f>
        <v>429038762.76050568</v>
      </c>
      <c r="N39" s="10"/>
    </row>
    <row r="40" spans="1:14" x14ac:dyDescent="0.3">
      <c r="A40" t="s">
        <v>163</v>
      </c>
      <c r="B40" s="17">
        <f>(Assumptions!$B$45*Assumptions!$B$17*B30)+(Model_Kenya_2020!B35*12*Assumptions!$B$44)*(B30)</f>
        <v>0</v>
      </c>
      <c r="C40" s="17">
        <f>(Assumptions!$B$45*Assumptions!$B$17*C30)+(Model_Kenya_2020!C35*12*Assumptions!$B$44)*(C30+B30)</f>
        <v>2043514.3675284525</v>
      </c>
      <c r="D40" s="17">
        <f>(Assumptions!$B$45*Assumptions!$B17*D30)+(Model_Kenya_2020!D35*12*Assumptions!$B$44)*(D30+C30)</f>
        <v>5671797.5507602599</v>
      </c>
      <c r="E40" s="17">
        <f>(Assumptions!$B$45*Assumptions!$B17*E30)+(Model_Kenya_2020!E35*12*Assumptions!$B$44)*(E30+D30)</f>
        <v>10998337.963212263</v>
      </c>
      <c r="F40" s="17">
        <f>(Assumptions!$B$45*Assumptions!$B17*F30)+(Model_Kenya_2020!F35*12*Assumptions!$B$44)*(F30+E30)</f>
        <v>20582354.738449071</v>
      </c>
      <c r="G40" s="17">
        <f>(Assumptions!$B$45*Assumptions!$B17*G30)+(Model_Kenya_2020!G35*12*Assumptions!$B$44)*(G30+F30)</f>
        <v>38155558.294674426</v>
      </c>
      <c r="H40" s="17">
        <f>(Assumptions!$B$45*Assumptions!$B17*H30)+(Model_Kenya_2020!H35*12*Assumptions!$B$44)*(H30+G30)</f>
        <v>62562065.682334945</v>
      </c>
      <c r="I40" s="17">
        <f>(Assumptions!$B$45*Assumptions!$B17*I30)+(Model_Kenya_2020!I35*12*Assumptions!$B$44)*(I30+H30)</f>
        <v>87457432.004071176</v>
      </c>
      <c r="J40" s="17">
        <f>(Assumptions!$B$45*Assumptions!$B17*J30)+(Model_Kenya_2020!J35*12*Assumptions!$B$44)*(J30+I30)</f>
        <v>104671967.54506785</v>
      </c>
      <c r="K40" s="17">
        <f>(Assumptions!$B$45*Assumptions!$B17*K30)+(Model_Kenya_2020!K35*12*Assumptions!$B$44)*(K30+J30)</f>
        <v>86179223.618091792</v>
      </c>
      <c r="L40" s="17">
        <f>(Assumptions!$B$45*Assumptions!$B17*L30)+(Model_Kenya_2020!L35*12*Assumptions!$B$44)*(L30+K30)</f>
        <v>54461776.483076744</v>
      </c>
      <c r="M40" s="53">
        <f>SUM(B40:L40)</f>
        <v>472784028.24726695</v>
      </c>
      <c r="N40" s="10"/>
    </row>
    <row r="41" spans="1:14" x14ac:dyDescent="0.3">
      <c r="A41" t="s">
        <v>164</v>
      </c>
      <c r="B41" s="17">
        <f>B40-B34</f>
        <v>0</v>
      </c>
      <c r="C41" s="17">
        <f t="shared" ref="C41" si="14">C40-C34</f>
        <v>72359.292650273303</v>
      </c>
      <c r="D41" s="17">
        <f t="shared" ref="D41" si="15">D40-D34</f>
        <v>-181116.04979568254</v>
      </c>
      <c r="E41" s="17">
        <f t="shared" ref="E41" si="16">E40-E34</f>
        <v>-504649.46109199524</v>
      </c>
      <c r="F41" s="17">
        <f t="shared" ref="F41" si="17">F40-F34</f>
        <v>-1141872.4023692794</v>
      </c>
      <c r="G41" s="17">
        <f t="shared" ref="G41" si="18">G40-G34</f>
        <v>-2145525.2201184034</v>
      </c>
      <c r="H41" s="17">
        <f t="shared" ref="H41" si="19">H40-H34</f>
        <v>-4290594.8483390734</v>
      </c>
      <c r="I41" s="17">
        <f t="shared" ref="I41" si="20">I40-I34</f>
        <v>-7430783.6599881947</v>
      </c>
      <c r="J41" s="17">
        <f t="shared" ref="J41" si="21">J40-J34</f>
        <v>-11147509.724627182</v>
      </c>
      <c r="K41" s="17">
        <f t="shared" ref="K41" si="22">K40-K34</f>
        <v>-16803491.620128378</v>
      </c>
      <c r="L41" s="17">
        <f t="shared" ref="L41" si="23">L40-L34</f>
        <v>-17707664.272575654</v>
      </c>
      <c r="M41" s="53">
        <f>SUM(B41:L41)</f>
        <v>-61280847.966383569</v>
      </c>
      <c r="N41" s="10"/>
    </row>
    <row r="42" spans="1:14" x14ac:dyDescent="0.3">
      <c r="A42" s="48" t="s">
        <v>150</v>
      </c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44"/>
      <c r="N42" s="10"/>
    </row>
    <row r="43" spans="1:14" x14ac:dyDescent="0.3">
      <c r="A43" t="s">
        <v>130</v>
      </c>
      <c r="B43" s="17">
        <f>((Assumptions!$B$16*(1-Assumptions!$B$96))*Assumptions!$B$24)*B30</f>
        <v>0</v>
      </c>
      <c r="C43" s="17">
        <f>((Assumptions!$B$16*(1-Assumptions!$B$96))*Assumptions!$B$24)*(C30+B30)</f>
        <v>1463383.9500151565</v>
      </c>
      <c r="D43" s="17">
        <f>((Assumptions!$B$16*(1-Assumptions!$B$96))*Assumptions!$B$24)*(D30+C30)</f>
        <v>4345198.3727907976</v>
      </c>
      <c r="E43" s="17">
        <f>((Assumptions!$B$16*(1-Assumptions!$B$96))*Assumptions!$B$24)*(E30+D30)</f>
        <v>8434443.549229797</v>
      </c>
      <c r="F43" s="17">
        <f>((Assumptions!$B$16*(1-Assumptions!$B$96))*Assumptions!$B$24)*(F30+E30)</f>
        <v>15815190.21296302</v>
      </c>
      <c r="G43" s="17">
        <f>((Assumptions!$B$16*(1-Assumptions!$B$96))*(Assumptions!$B$24*F30+Assumptions!$B$26*G30))</f>
        <v>29312203.773752261</v>
      </c>
      <c r="H43" s="17">
        <f>((Assumptions!$B$16*(1-Assumptions!$B$96))*Assumptions!$B$26)*(H30+G30)</f>
        <v>48492652.156741299</v>
      </c>
      <c r="I43" s="17">
        <f>((Assumptions!$B$16*(1-Assumptions!$B$96))*Assumptions!$B$26)*(I30+H30)</f>
        <v>68334427.371115953</v>
      </c>
      <c r="J43" s="17">
        <f>((Assumptions!$B$16*(1-Assumptions!$B$96))*Assumptions!$B$26)*(J30+I30)</f>
        <v>82492767.763290882</v>
      </c>
      <c r="K43" s="17">
        <f>((Assumptions!$B$16*(1-Assumptions!$B$96))*Assumptions!$B$26)*(K30+J30)</f>
        <v>70162544.908395067</v>
      </c>
      <c r="L43" s="17">
        <f>((Assumptions!$B$16*(1-Assumptions!$B$96))*Assumptions!$B$26)*(L30+K30)</f>
        <v>44147453.7839505</v>
      </c>
      <c r="M43" s="44"/>
      <c r="N43" s="10"/>
    </row>
    <row r="44" spans="1:14" x14ac:dyDescent="0.3">
      <c r="A44" t="s">
        <v>131</v>
      </c>
      <c r="B44" s="17">
        <f>Assumptions!$B$29*(B4)</f>
        <v>0</v>
      </c>
      <c r="C44" s="17">
        <f>Assumptions!$B$29*(C4)</f>
        <v>141925.13735923407</v>
      </c>
      <c r="D44" s="17">
        <f>Assumptions!$B$29*(D4)</f>
        <v>421415.63456744701</v>
      </c>
      <c r="E44" s="17">
        <f>Assumptions!$B$29*(E4)</f>
        <v>959932.9877670143</v>
      </c>
      <c r="F44" s="17">
        <f>Assumptions!$B$29*(F4)</f>
        <v>1955239.3746145777</v>
      </c>
      <c r="G44" s="17">
        <f>Assumptions!$B$29*(G4)</f>
        <v>3660828.7976025073</v>
      </c>
      <c r="H44" s="17">
        <f>Assumptions!$B$29*(H4)</f>
        <v>6236845.3347474048</v>
      </c>
      <c r="I44" s="17">
        <f>Assumptions!$B$29*(I4)</f>
        <v>9470181.4501644298</v>
      </c>
      <c r="J44" s="17">
        <f>Assumptions!$B$29*(J4)</f>
        <v>12703517.56558146</v>
      </c>
      <c r="K44" s="17">
        <f>Assumptions!$B$29*(K4)</f>
        <v>15279534.102726355</v>
      </c>
      <c r="L44" s="17">
        <f>Assumptions!$B$29*(L4)</f>
        <v>16985123.525714286</v>
      </c>
      <c r="M44" s="44"/>
      <c r="N44" s="10"/>
    </row>
    <row r="45" spans="1:14" x14ac:dyDescent="0.3">
      <c r="A45" t="s">
        <v>115</v>
      </c>
      <c r="B45" s="17">
        <f>SUM(B43:B44)</f>
        <v>0</v>
      </c>
      <c r="C45" s="17">
        <f t="shared" ref="C45:L45" si="24">SUM(C43:C44)</f>
        <v>1605309.0873743906</v>
      </c>
      <c r="D45" s="17">
        <f t="shared" si="24"/>
        <v>4766614.0073582446</v>
      </c>
      <c r="E45" s="17">
        <f t="shared" si="24"/>
        <v>9394376.5369968116</v>
      </c>
      <c r="F45" s="17">
        <f t="shared" si="24"/>
        <v>17770429.587577596</v>
      </c>
      <c r="G45" s="17">
        <f t="shared" si="24"/>
        <v>32973032.571354769</v>
      </c>
      <c r="H45" s="17">
        <f t="shared" si="24"/>
        <v>54729497.491488703</v>
      </c>
      <c r="I45" s="17">
        <f t="shared" si="24"/>
        <v>77804608.82128039</v>
      </c>
      <c r="J45" s="17">
        <f t="shared" si="24"/>
        <v>95196285.328872338</v>
      </c>
      <c r="K45" s="17">
        <f t="shared" si="24"/>
        <v>85442079.011121422</v>
      </c>
      <c r="L45" s="17">
        <f t="shared" si="24"/>
        <v>61132577.309664786</v>
      </c>
      <c r="M45" s="44">
        <f>SUM(B45:L45)</f>
        <v>440814809.75308949</v>
      </c>
      <c r="N45" s="10"/>
    </row>
    <row r="46" spans="1:14" x14ac:dyDescent="0.3">
      <c r="A46" t="s">
        <v>124</v>
      </c>
      <c r="B46" s="17">
        <f>((((1-Assumptions!$B$45)*(1-Assumptions!$B$96)*Assumptions!$B$17)*Assumptions!$B$46/12)/((1-(1+Assumptions!$B$46/12)^-24)))</f>
        <v>7.7390247889444579</v>
      </c>
      <c r="C46" s="17">
        <f>((((1-Assumptions!$B$45)*(1-Assumptions!$B$96)*Assumptions!$B$17)*Assumptions!$B$46/12)/((1-(1+Assumptions!$B$46/12)^-24)))</f>
        <v>7.7390247889444579</v>
      </c>
      <c r="D46" s="17">
        <f>((((1-Assumptions!$B$45)*(1-Assumptions!$B$96)*Assumptions!$B$17)*Assumptions!$B$46/12)/((1-(1+Assumptions!$B$46/12)^-24)))</f>
        <v>7.7390247889444579</v>
      </c>
      <c r="E46" s="17">
        <f>((((1-Assumptions!$B$45)*(1-Assumptions!$B$96)*Assumptions!$B$17)*Assumptions!$B$46/12)/((1-(1+Assumptions!$B$46/12)^-24)))</f>
        <v>7.7390247889444579</v>
      </c>
      <c r="F46" s="17">
        <f>((((1-Assumptions!$B$45)*(1-Assumptions!$B$96)*Assumptions!$B$17)*Assumptions!$B$46/12)/((1-(1+Assumptions!$B$46/12)^-24)))</f>
        <v>7.7390247889444579</v>
      </c>
      <c r="G46" s="17">
        <f>((((1-Assumptions!$B$45)*(1-Assumptions!$B$96)*Assumptions!$B$17)*Assumptions!$B$46/12)/((1-(1+Assumptions!$B$46/12)^-24)))</f>
        <v>7.7390247889444579</v>
      </c>
      <c r="H46" s="17">
        <f>((((1-Assumptions!$B$45)*(1-Assumptions!$B$96)*Assumptions!$B$17)*Assumptions!$B$46/12)/((1-(1+Assumptions!$B$46/12)^-24)))</f>
        <v>7.7390247889444579</v>
      </c>
      <c r="I46" s="17">
        <f>((((1-Assumptions!$B$45)*(1-Assumptions!$B$96)*Assumptions!$B$17)*Assumptions!$B$46/12)/((1-(1+Assumptions!$B$46/12)^-24)))</f>
        <v>7.7390247889444579</v>
      </c>
      <c r="J46" s="17">
        <f>((((1-Assumptions!$B$45)*(1-Assumptions!$B$96)*Assumptions!$B$17)*Assumptions!$B$46/12)/((1-(1+Assumptions!$B$46/12)^-24)))</f>
        <v>7.7390247889444579</v>
      </c>
      <c r="K46" s="17">
        <f>((((1-Assumptions!$B$45)*(1-Assumptions!$B$96)*Assumptions!$B$17)*Assumptions!$B$46/12)/((1-(1+Assumptions!$B$46/12)^-24)))</f>
        <v>7.7390247889444579</v>
      </c>
      <c r="L46" s="17">
        <f>((((1-Assumptions!$B$45)*(1-Assumptions!$B$96)*Assumptions!$B$17)*Assumptions!$B$46/12)/((1-(1+Assumptions!$B$46/12)^-24)))</f>
        <v>7.7390247889444579</v>
      </c>
      <c r="M46" s="44"/>
      <c r="N46" s="10"/>
    </row>
    <row r="47" spans="1:14" x14ac:dyDescent="0.3">
      <c r="A47" t="s">
        <v>126</v>
      </c>
      <c r="B47" s="17">
        <f>Assumptions!$B$108</f>
        <v>0.82724999999999993</v>
      </c>
      <c r="C47" s="17">
        <f>Assumptions!$B$108</f>
        <v>0.82724999999999993</v>
      </c>
      <c r="D47" s="17">
        <f>Assumptions!$B$108</f>
        <v>0.82724999999999993</v>
      </c>
      <c r="E47" s="17">
        <f>Assumptions!$B$108</f>
        <v>0.82724999999999993</v>
      </c>
      <c r="F47" s="17">
        <f>Assumptions!$B$108</f>
        <v>0.82724999999999993</v>
      </c>
      <c r="G47" s="17">
        <f>Assumptions!$B$108</f>
        <v>0.82724999999999993</v>
      </c>
      <c r="H47" s="17">
        <f>Assumptions!$B$108</f>
        <v>0.82724999999999993</v>
      </c>
      <c r="I47" s="17">
        <f>Assumptions!$B$108</f>
        <v>0.82724999999999993</v>
      </c>
      <c r="J47" s="17">
        <f>Assumptions!$B$108</f>
        <v>0.82724999999999993</v>
      </c>
      <c r="K47" s="17">
        <f>Assumptions!$B$108</f>
        <v>0.82724999999999993</v>
      </c>
      <c r="L47" s="17">
        <f>Assumptions!$B$108</f>
        <v>0.82724999999999993</v>
      </c>
      <c r="M47" s="44"/>
      <c r="N47" s="10"/>
    </row>
    <row r="48" spans="1:14" x14ac:dyDescent="0.3">
      <c r="A48" t="s">
        <v>127</v>
      </c>
      <c r="B48" s="17">
        <f>(B46-B47)*12*(B30)</f>
        <v>0</v>
      </c>
      <c r="C48" s="17">
        <f t="shared" ref="C48:L48" si="25">(C46-C47)*12*(C30+B30)</f>
        <v>1177145.5035804398</v>
      </c>
      <c r="D48" s="17">
        <f t="shared" si="25"/>
        <v>3495275.950404373</v>
      </c>
      <c r="E48" s="17">
        <f t="shared" si="25"/>
        <v>6784663.2451285738</v>
      </c>
      <c r="F48" s="17">
        <f t="shared" si="25"/>
        <v>12721733.108570708</v>
      </c>
      <c r="G48" s="17">
        <f t="shared" si="25"/>
        <v>23578725.782764468</v>
      </c>
      <c r="H48" s="17">
        <f t="shared" si="25"/>
        <v>39007471.308132857</v>
      </c>
      <c r="I48" s="17">
        <f t="shared" si="25"/>
        <v>54968187.890006699</v>
      </c>
      <c r="J48" s="17">
        <f t="shared" si="25"/>
        <v>66357151.620705955</v>
      </c>
      <c r="K48" s="17">
        <f t="shared" si="25"/>
        <v>56438724.955144227</v>
      </c>
      <c r="L48" s="17">
        <f t="shared" si="25"/>
        <v>35512195.357728481</v>
      </c>
      <c r="M48" s="44"/>
      <c r="N48" s="10"/>
    </row>
    <row r="49" spans="1:14" x14ac:dyDescent="0.3">
      <c r="A49" t="s">
        <v>123</v>
      </c>
      <c r="B49" s="17">
        <f>((Assumptions!$B$45*Assumptions!$B$17)-(5*Assumptions!$B$108))*B30</f>
        <v>0</v>
      </c>
      <c r="C49" s="17">
        <f>((Assumptions!$B$45*Assumptions!$B$17)-(5*Assumptions!$B$108))*C30</f>
        <v>337267.34829204984</v>
      </c>
      <c r="D49" s="17">
        <f>((Assumptions!$B$45*Assumptions!$B$17)-(5*Assumptions!$B$108))*D30</f>
        <v>664174.2303031669</v>
      </c>
      <c r="E49" s="17">
        <f>((Assumptions!$B$45*Assumptions!$B$17)-(5*Assumptions!$B$108))*E30</f>
        <v>1279719.1752096217</v>
      </c>
      <c r="F49" s="17">
        <f>((Assumptions!$B$45*Assumptions!$B$17)-(5*Assumptions!$B$108))*F30</f>
        <v>2365221.2150448784</v>
      </c>
      <c r="G49" s="17">
        <f>((Assumptions!$B$45*Assumptions!$B$17)-(5*Assumptions!$B$108))*G30</f>
        <v>4390387.4133449914</v>
      </c>
      <c r="H49" s="17">
        <f>((Assumptions!$B$45*Assumptions!$B$17)-(5*Assumptions!$B$108))*H30</f>
        <v>6785755.5287608709</v>
      </c>
      <c r="I49" s="17">
        <f>((Assumptions!$B$45*Assumptions!$B$17)-(5*Assumptions!$B$108))*I30</f>
        <v>8963338.2864837553</v>
      </c>
      <c r="J49" s="17">
        <f>((Assumptions!$B$45*Assumptions!$B$17)-(5*Assumptions!$B$108))*J30</f>
        <v>10048840.32631902</v>
      </c>
      <c r="K49" s="17">
        <f>((Assumptions!$B$45*Assumptions!$B$17)-(5*Assumptions!$B$108))*K30</f>
        <v>6121581.2984577036</v>
      </c>
      <c r="L49" s="17">
        <f>((Assumptions!$B$45*Assumptions!$B$17)-(5*Assumptions!$B$108))*L30</f>
        <v>4053120.0650529419</v>
      </c>
      <c r="M49" s="44"/>
      <c r="N49" s="10"/>
    </row>
    <row r="50" spans="1:14" x14ac:dyDescent="0.3">
      <c r="A50" t="s">
        <v>125</v>
      </c>
      <c r="B50" s="17">
        <f>B48+B49+(B30*Assumptions!$B$17*(Assumptions!$B$96))</f>
        <v>0</v>
      </c>
      <c r="C50" s="17">
        <f>C48+C49+(C30*Assumptions!$B$17*(Assumptions!$B$96))</f>
        <v>2042374.3628488407</v>
      </c>
      <c r="D50" s="17">
        <f>D48+D49+(D30*Assumptions!$B$17*(Assumptions!$B$96))</f>
        <v>5199154.8303220924</v>
      </c>
      <c r="E50" s="17">
        <f>E48+E49+(E30*Assumptions!$B$17*(Assumptions!$B$96))</f>
        <v>10067666.974240586</v>
      </c>
      <c r="F50" s="17">
        <f>F48+F49+(F30*Assumptions!$B$17*(Assumptions!$B$96))</f>
        <v>18789494.082688522</v>
      </c>
      <c r="G50" s="17">
        <f>G48+G49+(G30*Assumptions!$B$17*(Assumptions!$B$96))</f>
        <v>34841867.360600911</v>
      </c>
      <c r="H50" s="17">
        <f>H48+H49+(H30*Assumptions!$B$17*(Assumptions!$B$96))</f>
        <v>56415713.004687302</v>
      </c>
      <c r="I50" s="17">
        <f>I48+I49+(I30*Assumptions!$B$17*(Assumptions!$B$96))</f>
        <v>77962821.07974419</v>
      </c>
      <c r="J50" s="17">
        <f>J48+J49+(J30*Assumptions!$B$17*(Assumptions!$B$96))</f>
        <v>92136542.055449247</v>
      </c>
      <c r="K50" s="17">
        <f>K48+K49+(K30*Assumptions!$B$17*(Assumptions!$B$96))</f>
        <v>72143087.771780953</v>
      </c>
      <c r="L50" s="17">
        <f>L48+L49+(L30*Assumptions!$B$17*(Assumptions!$B$96))</f>
        <v>45910108.076296523</v>
      </c>
      <c r="M50" s="53">
        <f>SUM(B50:L50)</f>
        <v>415508829.59865922</v>
      </c>
      <c r="N50" s="10"/>
    </row>
    <row r="51" spans="1:14" x14ac:dyDescent="0.3">
      <c r="A51" t="s">
        <v>163</v>
      </c>
      <c r="B51" s="17">
        <f>(Assumptions!$B$45*Assumptions!$B$17*B30)+(B46*12*Assumptions!$B$44)*(B30)</f>
        <v>0</v>
      </c>
      <c r="C51" s="17">
        <f>(Assumptions!$B$45*Assumptions!$B$17*C30)+(C46*12*Assumptions!$B$44)*(C30+B30)</f>
        <v>1714005.7206692146</v>
      </c>
      <c r="D51" s="17">
        <f>(Assumptions!$B$45*Assumptions!$B$17*D30)+(D46*12*Assumptions!$B$44)*(D30+C30)</f>
        <v>4693393.7380503919</v>
      </c>
      <c r="E51" s="17">
        <f>(Assumptions!$B$45*Assumptions!$B$17*E30)+(E46*12*Assumptions!$B$44)*(E30+D30)</f>
        <v>9099163.0536551699</v>
      </c>
      <c r="F51" s="17">
        <f>(Assumptions!$B$45*Assumptions!$B$17*F30)+(F46*12*Assumptions!$B$44)*(F30+E30)</f>
        <v>17021264.754620198</v>
      </c>
      <c r="G51" s="17">
        <f>(Assumptions!$B$45*Assumptions!$B$17*G30)+(G46*12*Assumptions!$B$44)*(G30+F30)</f>
        <v>31555359.760413259</v>
      </c>
      <c r="H51" s="17">
        <f>(Assumptions!$B$45*Assumptions!$B$17*H30)+(H46*12*Assumptions!$B$44)*(H30+G30)</f>
        <v>51643025.471036993</v>
      </c>
      <c r="I51" s="17">
        <f>(Assumptions!$B$45*Assumptions!$B$17*I30)+(I46*12*Assumptions!$B$44)*(I30+H30)</f>
        <v>72070639.838745013</v>
      </c>
      <c r="J51" s="17">
        <f>(Assumptions!$B$45*Assumptions!$B$17*J30)+(J46*12*Assumptions!$B$44)*(J30+I30)</f>
        <v>86097156.552317917</v>
      </c>
      <c r="K51" s="17">
        <f>(Assumptions!$B$45*Assumptions!$B$17*K30)+(K46*12*Assumptions!$B$44)*(K30+J30)</f>
        <v>70380796.12220028</v>
      </c>
      <c r="L51" s="17">
        <f>(Assumptions!$B$45*Assumptions!$B$17*L30)+(L46*12*Assumptions!$B$44)*(L30+K30)</f>
        <v>44521140.08448866</v>
      </c>
      <c r="M51" s="53">
        <f>SUM(B51:L51)</f>
        <v>388795945.09619701</v>
      </c>
      <c r="N51" s="10"/>
    </row>
    <row r="52" spans="1:14" x14ac:dyDescent="0.3">
      <c r="A52" t="s">
        <v>164</v>
      </c>
      <c r="B52" s="17">
        <f>B51-B45</f>
        <v>0</v>
      </c>
      <c r="C52" s="17">
        <f>C51-C45</f>
        <v>108696.63329482405</v>
      </c>
      <c r="D52" s="17">
        <f t="shared" ref="D52" si="26">D51-D45</f>
        <v>-73220.269307852723</v>
      </c>
      <c r="E52" s="17">
        <f t="shared" ref="E52" si="27">E51-E45</f>
        <v>-295213.48334164172</v>
      </c>
      <c r="F52" s="17">
        <f t="shared" ref="F52" si="28">F51-F45</f>
        <v>-749164.83295739815</v>
      </c>
      <c r="G52" s="17">
        <f t="shared" ref="G52" si="29">G51-G45</f>
        <v>-1417672.8109415099</v>
      </c>
      <c r="H52" s="17">
        <f t="shared" ref="H52" si="30">H51-H45</f>
        <v>-3086472.0204517096</v>
      </c>
      <c r="I52" s="17">
        <f t="shared" ref="I52" si="31">I51-I45</f>
        <v>-5733968.9825353771</v>
      </c>
      <c r="J52" s="17">
        <f t="shared" ref="J52" si="32">J51-J45</f>
        <v>-9099128.7765544206</v>
      </c>
      <c r="K52" s="17">
        <f t="shared" ref="K52" si="33">K51-K45</f>
        <v>-15061282.888921142</v>
      </c>
      <c r="L52" s="17">
        <f t="shared" ref="L52" si="34">L51-L45</f>
        <v>-16611437.225176126</v>
      </c>
      <c r="M52" s="53">
        <f>SUM(B52:L52)</f>
        <v>-52018864.656892352</v>
      </c>
      <c r="N52" s="10"/>
    </row>
    <row r="53" spans="1:14" x14ac:dyDescent="0.3">
      <c r="A53" s="98" t="s">
        <v>108</v>
      </c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46"/>
      <c r="N53" s="10"/>
    </row>
    <row r="54" spans="1:14" x14ac:dyDescent="0.3">
      <c r="A54" t="s">
        <v>204</v>
      </c>
      <c r="B54" s="17">
        <f>B$5*Assumptions!$B$88</f>
        <v>0</v>
      </c>
      <c r="C54" s="17">
        <f>C$5*Assumptions!$B$88</f>
        <v>16392353.364991535</v>
      </c>
      <c r="D54" s="17">
        <f>D$5*Assumptions!$B$88</f>
        <v>32281152.427548591</v>
      </c>
      <c r="E54" s="17">
        <f>E$5*Assumptions!$B$88</f>
        <v>62198754.294550024</v>
      </c>
      <c r="F54" s="17">
        <f>F$5*Assumptions!$B$88</f>
        <v>114957887.68089357</v>
      </c>
      <c r="G54" s="17">
        <f>G$5*Assumptions!$B$88</f>
        <v>196995578.35510588</v>
      </c>
      <c r="H54" s="17">
        <f>H$5*Assumptions!$B$88</f>
        <v>297529910.04023564</v>
      </c>
      <c r="I54" s="17">
        <f>I$5*Assumptions!$B$88</f>
        <v>373450321.33066642</v>
      </c>
      <c r="J54" s="17">
        <f>J$5*Assumptions!$B$88</f>
        <v>373450321.33066684</v>
      </c>
      <c r="K54" s="17">
        <f>K$5*Assumptions!$B$88</f>
        <v>297529910.04023558</v>
      </c>
      <c r="L54" s="17">
        <f>L$5*Assumptions!$B$88</f>
        <v>196995578.35510591</v>
      </c>
      <c r="M54" s="44">
        <f>SUM(B54:L54)</f>
        <v>1961781767.22</v>
      </c>
    </row>
    <row r="55" spans="1:14" x14ac:dyDescent="0.3">
      <c r="A55" t="s">
        <v>165</v>
      </c>
      <c r="B55" s="17">
        <f>((Assumptions!$B$65-Assumptions!$B$76)/Assumptions!$B$60)*(Assumptions!$B$14)*(B4)</f>
        <v>0</v>
      </c>
      <c r="C55" s="17">
        <f>((Assumptions!$B$66-Assumptions!$B$77)/Assumptions!$B$60)*(Assumptions!$B$14)*(C4)</f>
        <v>44867.661426409897</v>
      </c>
      <c r="D55" s="17">
        <f>((Assumptions!$B$67-Assumptions!$B$78)/Assumptions!$B$60)*(Assumptions!$B$14)*(D4)</f>
        <v>186609.06722560653</v>
      </c>
      <c r="E55" s="17">
        <f>((Assumptions!$B$68-Assumptions!$B$79)/Assumptions!$B$60)*(Assumptions!$B$14)*(E4)</f>
        <v>541832.92730348231</v>
      </c>
      <c r="F55" s="17">
        <f>((Assumptions!$B$69-Assumptions!$B$80)/Assumptions!$B$60)*(Assumptions!$B$14)*(F4)</f>
        <v>671823.84752153745</v>
      </c>
      <c r="G55" s="17">
        <f>((Assumptions!$B$70-Assumptions!$B$81)/Assumptions!$B$60)*(Assumptions!$B$14)*(G4)</f>
        <v>945965.6168501795</v>
      </c>
      <c r="H55" s="17">
        <f>(((Assumptions!$B$70*(1+Assumptions!$B$71))-Assumptions!$B$81)/Assumptions!$B$60)*(Assumptions!$B$14)*(H4)</f>
        <v>1611613.5362973884</v>
      </c>
      <c r="I55" s="17">
        <f>(((Assumptions!$B$70*(1+Assumptions!$B$71))-Assumptions!$B$81)/Assumptions!$B$60)*(Assumptions!$B$14)*(I4)</f>
        <v>2447114.1734502474</v>
      </c>
      <c r="J55" s="17">
        <f>(((Assumptions!$B$70*(1+Assumptions!$B$71))-Assumptions!$B$81)/Assumptions!$B$60)*(Assumptions!$B$14)*(J4)</f>
        <v>3282614.8106031073</v>
      </c>
      <c r="K55" s="17">
        <f>(((Assumptions!$B$70*(1+Assumptions!$B$71))-Assumptions!$B$81)/Assumptions!$B$60)*(Assumptions!$B$14)*(K4)</f>
        <v>3948262.7300503161</v>
      </c>
      <c r="L55" s="17">
        <f>(((Assumptions!$B$70*(1+Assumptions!$B$71))-Assumptions!$B$81)/Assumptions!$B$60)*(Assumptions!$B$14)*(L4)</f>
        <v>4388990.5105099101</v>
      </c>
      <c r="M55" s="44">
        <f>SUM(B55:L55)</f>
        <v>18069694.881238185</v>
      </c>
    </row>
    <row r="60" spans="1:14" x14ac:dyDescent="0.3">
      <c r="D60" s="10"/>
    </row>
  </sheetData>
  <mergeCells count="6">
    <mergeCell ref="A53:L53"/>
    <mergeCell ref="A1:M1"/>
    <mergeCell ref="A8:L8"/>
    <mergeCell ref="A12:L12"/>
    <mergeCell ref="A16:L16"/>
    <mergeCell ref="A28:L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 Results</vt:lpstr>
      <vt:lpstr>Assumptions</vt:lpstr>
      <vt:lpstr>Model_Kenya_2025</vt:lpstr>
      <vt:lpstr>Model_Zambia_2025</vt:lpstr>
      <vt:lpstr>Sensitivity_Analysis</vt:lpstr>
      <vt:lpstr>WACC_sensitivity</vt:lpstr>
      <vt:lpstr>HH_sensitivity</vt:lpstr>
      <vt:lpstr>Income_sensitivity</vt:lpstr>
      <vt:lpstr>Scenario Charts</vt:lpstr>
      <vt:lpstr>Sensitivity Charts</vt:lpstr>
      <vt:lpstr>Model_Zambia_2020</vt:lpstr>
      <vt:lpstr>Model_Kenya_2020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Shalom Mulinge</dc:creator>
  <cp:lastModifiedBy>Shalom Mulinge</cp:lastModifiedBy>
  <dcterms:created xsi:type="dcterms:W3CDTF">2026-07-06T12:39:06Z</dcterms:created>
  <dcterms:modified xsi:type="dcterms:W3CDTF">2026-10-08T19:33:51Z</dcterms:modified>
</cp:coreProperties>
</file>