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Oxford\Dissertation\Data\"/>
    </mc:Choice>
  </mc:AlternateContent>
  <xr:revisionPtr revIDLastSave="0" documentId="13_ncr:1_{84DFB773-FBA9-4248-AD27-B5CCF82815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Quintiles by Country" sheetId="1" r:id="rId1"/>
    <sheet name="Tidy (long format)" sheetId="2" r:id="rId2"/>
    <sheet name="Gender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3" l="1"/>
  <c r="F22" i="3"/>
  <c r="F21" i="3"/>
  <c r="F20" i="3"/>
  <c r="F19" i="3"/>
  <c r="F18" i="3"/>
  <c r="F17" i="3"/>
  <c r="F15" i="3"/>
  <c r="F14" i="3"/>
  <c r="F13" i="3"/>
  <c r="F12" i="3"/>
  <c r="F11" i="3"/>
  <c r="F10" i="3"/>
  <c r="F9" i="3"/>
  <c r="F8" i="3"/>
  <c r="F7" i="3"/>
  <c r="F6" i="3"/>
  <c r="F5" i="3"/>
  <c r="F4" i="3"/>
  <c r="I24" i="1"/>
  <c r="I23" i="1"/>
  <c r="I22" i="1"/>
  <c r="I21" i="1"/>
  <c r="I20" i="1"/>
  <c r="I19" i="1"/>
  <c r="I18" i="1"/>
  <c r="I16" i="1"/>
  <c r="I15" i="1"/>
  <c r="I14" i="1"/>
  <c r="I13" i="1"/>
  <c r="I12" i="1"/>
  <c r="I11" i="1"/>
  <c r="I10" i="1"/>
  <c r="I9" i="1"/>
  <c r="I8" i="1"/>
  <c r="I7" i="1"/>
  <c r="I6" i="1"/>
  <c r="I5" i="1"/>
</calcChain>
</file>

<file path=xl/sharedStrings.xml><?xml version="1.0" encoding="utf-8"?>
<sst xmlns="http://schemas.openxmlformats.org/spreadsheetml/2006/main" count="406" uniqueCount="46">
  <si>
    <t>Electricity Access by Household Welfare Quintile, by Country</t>
  </si>
  <si>
    <t>Source: Tracking SDG7: The Energy Progress Report 2018, Annex 2 (World Bank / GMD-TSD, latest year available per country)</t>
  </si>
  <si>
    <t>Country</t>
  </si>
  <si>
    <t>Region</t>
  </si>
  <si>
    <t>Survey Year</t>
  </si>
  <si>
    <t>Q1 (Lowest)</t>
  </si>
  <si>
    <t>Q2</t>
  </si>
  <si>
    <t>Q3 (Middle)</t>
  </si>
  <si>
    <t>Q4</t>
  </si>
  <si>
    <t>Q5 (Top)</t>
  </si>
  <si>
    <t>Top/Bottom Ratio</t>
  </si>
  <si>
    <t>Female-headed HH (%)</t>
  </si>
  <si>
    <t>Male-headed HH (%)</t>
  </si>
  <si>
    <t>Source Page</t>
  </si>
  <si>
    <t>Bangladesh</t>
  </si>
  <si>
    <t>South Asia</t>
  </si>
  <si>
    <t>Burkina Faso</t>
  </si>
  <si>
    <t>Sub-Saharan Africa</t>
  </si>
  <si>
    <t>Chad</t>
  </si>
  <si>
    <t>DR Congo</t>
  </si>
  <si>
    <t>Ethiopia</t>
  </si>
  <si>
    <t>India</t>
  </si>
  <si>
    <t>Kenya</t>
  </si>
  <si>
    <t>Madagascar</t>
  </si>
  <si>
    <t>Malawi</t>
  </si>
  <si>
    <t>Mali</t>
  </si>
  <si>
    <t>Mozambique</t>
  </si>
  <si>
    <t>Myanmar</t>
  </si>
  <si>
    <t>East Asia &amp; Pacific</t>
  </si>
  <si>
    <t>Niger</t>
  </si>
  <si>
    <t>n/a</t>
  </si>
  <si>
    <t>No data</t>
  </si>
  <si>
    <t>Nigeria</t>
  </si>
  <si>
    <t>Pakistan</t>
  </si>
  <si>
    <t>Philippines</t>
  </si>
  <si>
    <t>Sudan</t>
  </si>
  <si>
    <t>Tanzania</t>
  </si>
  <si>
    <t>Uganda</t>
  </si>
  <si>
    <t>Zambia</t>
  </si>
  <si>
    <t>Electricity Access by Quintile — Tidy/Long Format</t>
  </si>
  <si>
    <t>Quintile</t>
  </si>
  <si>
    <t>Access Rate (%)</t>
  </si>
  <si>
    <t>Electricity Access by Gender of Household Head, by Country</t>
  </si>
  <si>
    <t>Gap (Male − Female, pp)</t>
  </si>
  <si>
    <t>Link</t>
  </si>
  <si>
    <t>https://www.seforall.org/system/files/2019-05/TrackingSDG7_18electrification_annex.pdf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</si>
</sst>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5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FEFE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Normal="100" workbookViewId="0">
      <pane ySplit="4" topLeftCell="A5" activePane="bottomLeft" state="frozen"/>
      <selection pane="bottomLeft" activeCell="B2" sqref="B2"/>
    </sheetView>
  </sheetViews>
  <sheetFormatPr defaultColWidth="8.6640625" defaultRowHeight="14.4" x14ac:dyDescent="0.3"/>
  <cols>
    <col min="1" max="1" width="16" customWidth="1"/>
    <col min="2" max="2" width="20" customWidth="1"/>
    <col min="3" max="3" width="12" customWidth="1"/>
    <col min="4" max="4" width="13" customWidth="1"/>
    <col min="5" max="5" width="9" customWidth="1"/>
    <col min="6" max="6" width="13" customWidth="1"/>
    <col min="7" max="7" width="9" customWidth="1"/>
    <col min="8" max="8" width="10" customWidth="1"/>
    <col min="9" max="9" width="14" customWidth="1"/>
    <col min="10" max="10" width="17" customWidth="1"/>
    <col min="11" max="11" width="15" customWidth="1"/>
    <col min="12" max="12" width="12" customWidth="1"/>
  </cols>
  <sheetData>
    <row r="1" spans="1:12" ht="17.399999999999999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x14ac:dyDescent="0.3">
      <c r="A2" t="s">
        <v>1</v>
      </c>
    </row>
    <row r="3" spans="1:12" x14ac:dyDescent="0.3">
      <c r="A3" t="s">
        <v>44</v>
      </c>
      <c r="B3" t="s">
        <v>45</v>
      </c>
    </row>
    <row r="4" spans="1:12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x14ac:dyDescent="0.3">
      <c r="A5" s="2" t="s">
        <v>14</v>
      </c>
      <c r="B5" s="3" t="s">
        <v>15</v>
      </c>
      <c r="C5" s="4">
        <v>2010</v>
      </c>
      <c r="D5" s="5">
        <v>0.27</v>
      </c>
      <c r="E5" s="5">
        <v>0.43</v>
      </c>
      <c r="F5" s="5">
        <v>0.56999999999999995</v>
      </c>
      <c r="G5" s="5">
        <v>0.69</v>
      </c>
      <c r="H5" s="5">
        <v>0.85</v>
      </c>
      <c r="I5" s="4">
        <f t="shared" ref="I5:I16" si="0">IF(D5=0,"n/a",ROUND(H5/D5,1))</f>
        <v>3.1</v>
      </c>
      <c r="J5" s="5">
        <v>0.52</v>
      </c>
      <c r="K5" s="5">
        <v>0.56999999999999995</v>
      </c>
      <c r="L5" s="4">
        <v>129</v>
      </c>
    </row>
    <row r="6" spans="1:12" x14ac:dyDescent="0.3">
      <c r="A6" s="2" t="s">
        <v>16</v>
      </c>
      <c r="B6" s="3" t="s">
        <v>17</v>
      </c>
      <c r="C6" s="4">
        <v>2009</v>
      </c>
      <c r="D6" s="5">
        <v>0.01</v>
      </c>
      <c r="E6" s="5">
        <v>0.02</v>
      </c>
      <c r="F6" s="5">
        <v>0.05</v>
      </c>
      <c r="G6" s="5">
        <v>0.11</v>
      </c>
      <c r="H6" s="5">
        <v>0.39</v>
      </c>
      <c r="I6" s="4">
        <f t="shared" si="0"/>
        <v>39</v>
      </c>
      <c r="J6" s="5">
        <v>0.12</v>
      </c>
      <c r="K6" s="5">
        <v>0.12</v>
      </c>
      <c r="L6" s="4">
        <v>131</v>
      </c>
    </row>
    <row r="7" spans="1:12" x14ac:dyDescent="0.3">
      <c r="A7" s="2" t="s">
        <v>18</v>
      </c>
      <c r="B7" s="3" t="s">
        <v>17</v>
      </c>
      <c r="C7" s="4">
        <v>2011</v>
      </c>
      <c r="D7" s="5">
        <v>0.01</v>
      </c>
      <c r="E7" s="5">
        <v>0.02</v>
      </c>
      <c r="F7" s="5">
        <v>0.05</v>
      </c>
      <c r="G7" s="5">
        <v>0.1</v>
      </c>
      <c r="H7" s="5">
        <v>0.21</v>
      </c>
      <c r="I7" s="4">
        <f t="shared" si="0"/>
        <v>21</v>
      </c>
      <c r="J7" s="5">
        <v>0.06</v>
      </c>
      <c r="K7" s="5">
        <v>0.09</v>
      </c>
      <c r="L7" s="4">
        <v>133</v>
      </c>
    </row>
    <row r="8" spans="1:12" x14ac:dyDescent="0.3">
      <c r="A8" s="2" t="s">
        <v>19</v>
      </c>
      <c r="B8" s="3" t="s">
        <v>17</v>
      </c>
      <c r="C8" s="4">
        <v>2012</v>
      </c>
      <c r="D8" s="5">
        <v>0.01</v>
      </c>
      <c r="E8" s="5">
        <v>0.02</v>
      </c>
      <c r="F8" s="5">
        <v>0.04</v>
      </c>
      <c r="G8" s="5">
        <v>0.11</v>
      </c>
      <c r="H8" s="5">
        <v>0.36</v>
      </c>
      <c r="I8" s="4">
        <f t="shared" si="0"/>
        <v>36</v>
      </c>
      <c r="J8" s="5">
        <v>0.09</v>
      </c>
      <c r="K8" s="5">
        <v>0.11</v>
      </c>
      <c r="L8" s="4">
        <v>135</v>
      </c>
    </row>
    <row r="9" spans="1:12" x14ac:dyDescent="0.3">
      <c r="A9" s="2" t="s">
        <v>20</v>
      </c>
      <c r="B9" s="3" t="s">
        <v>17</v>
      </c>
      <c r="C9" s="4">
        <v>2010</v>
      </c>
      <c r="D9" s="5">
        <v>0.44</v>
      </c>
      <c r="E9" s="5">
        <v>0.48</v>
      </c>
      <c r="F9" s="5">
        <v>0.53</v>
      </c>
      <c r="G9" s="5">
        <v>0.62</v>
      </c>
      <c r="H9" s="5">
        <v>0.72</v>
      </c>
      <c r="I9" s="4">
        <f t="shared" si="0"/>
        <v>1.6</v>
      </c>
      <c r="J9" s="5">
        <v>0.6</v>
      </c>
      <c r="K9" s="5">
        <v>0.54</v>
      </c>
      <c r="L9" s="4">
        <v>137</v>
      </c>
    </row>
    <row r="10" spans="1:12" x14ac:dyDescent="0.3">
      <c r="A10" s="2" t="s">
        <v>21</v>
      </c>
      <c r="B10" s="3" t="s">
        <v>15</v>
      </c>
      <c r="C10" s="4">
        <v>2011</v>
      </c>
      <c r="D10" s="5">
        <v>0.66</v>
      </c>
      <c r="E10" s="5">
        <v>0.82</v>
      </c>
      <c r="F10" s="5">
        <v>0.89</v>
      </c>
      <c r="G10" s="5">
        <v>0.94</v>
      </c>
      <c r="H10" s="5">
        <v>0.97</v>
      </c>
      <c r="I10" s="4">
        <f t="shared" si="0"/>
        <v>1.5</v>
      </c>
      <c r="J10" s="5">
        <v>0.85</v>
      </c>
      <c r="K10" s="5">
        <v>0.86</v>
      </c>
      <c r="L10" s="4">
        <v>139</v>
      </c>
    </row>
    <row r="11" spans="1:12" x14ac:dyDescent="0.3">
      <c r="A11" s="2" t="s">
        <v>22</v>
      </c>
      <c r="B11" s="3" t="s">
        <v>17</v>
      </c>
      <c r="C11" s="4">
        <v>2005</v>
      </c>
      <c r="D11" s="5">
        <v>0</v>
      </c>
      <c r="E11" s="5">
        <v>0.01</v>
      </c>
      <c r="F11" s="5">
        <v>0.04</v>
      </c>
      <c r="G11" s="5">
        <v>0.12</v>
      </c>
      <c r="H11" s="5">
        <v>0.43</v>
      </c>
      <c r="I11" s="4" t="str">
        <f t="shared" si="0"/>
        <v>n/a</v>
      </c>
      <c r="J11" s="5">
        <v>0.1</v>
      </c>
      <c r="K11" s="5">
        <v>0.13</v>
      </c>
      <c r="L11" s="4">
        <v>141</v>
      </c>
    </row>
    <row r="12" spans="1:12" x14ac:dyDescent="0.3">
      <c r="A12" s="2" t="s">
        <v>23</v>
      </c>
      <c r="B12" s="3" t="s">
        <v>17</v>
      </c>
      <c r="C12" s="4">
        <v>2010</v>
      </c>
      <c r="D12" s="5">
        <v>0.01</v>
      </c>
      <c r="E12" s="5">
        <v>0.03</v>
      </c>
      <c r="F12" s="5">
        <v>7.0000000000000007E-2</v>
      </c>
      <c r="G12" s="5">
        <v>0.19</v>
      </c>
      <c r="H12" s="5">
        <v>0.54</v>
      </c>
      <c r="I12" s="4">
        <f t="shared" si="0"/>
        <v>54</v>
      </c>
      <c r="J12" s="5">
        <v>0.17</v>
      </c>
      <c r="K12" s="5">
        <v>0.17</v>
      </c>
      <c r="L12" s="4">
        <v>143</v>
      </c>
    </row>
    <row r="13" spans="1:12" x14ac:dyDescent="0.3">
      <c r="A13" s="2" t="s">
        <v>24</v>
      </c>
      <c r="B13" s="3" t="s">
        <v>17</v>
      </c>
      <c r="C13" s="4">
        <v>2010</v>
      </c>
      <c r="D13" s="5">
        <v>0.01</v>
      </c>
      <c r="E13" s="5">
        <v>0.01</v>
      </c>
      <c r="F13" s="5">
        <v>0.01</v>
      </c>
      <c r="G13" s="5">
        <v>0.04</v>
      </c>
      <c r="H13" s="5">
        <v>0.28999999999999998</v>
      </c>
      <c r="I13" s="4">
        <f t="shared" si="0"/>
        <v>29</v>
      </c>
      <c r="J13" s="5">
        <v>0.06</v>
      </c>
      <c r="K13" s="5">
        <v>7.0000000000000007E-2</v>
      </c>
      <c r="L13" s="4">
        <v>145</v>
      </c>
    </row>
    <row r="14" spans="1:12" x14ac:dyDescent="0.3">
      <c r="A14" s="2" t="s">
        <v>25</v>
      </c>
      <c r="B14" s="3" t="s">
        <v>17</v>
      </c>
      <c r="C14" s="4">
        <v>2010</v>
      </c>
      <c r="D14" s="5">
        <v>0.03</v>
      </c>
      <c r="E14" s="5">
        <v>0.05</v>
      </c>
      <c r="F14" s="5">
        <v>0.1</v>
      </c>
      <c r="G14" s="5">
        <v>0.19</v>
      </c>
      <c r="H14" s="5">
        <v>0.53</v>
      </c>
      <c r="I14" s="4">
        <f t="shared" si="0"/>
        <v>17.7</v>
      </c>
      <c r="J14" s="5">
        <v>0.2</v>
      </c>
      <c r="K14" s="5">
        <v>0.18</v>
      </c>
      <c r="L14" s="4">
        <v>147</v>
      </c>
    </row>
    <row r="15" spans="1:12" x14ac:dyDescent="0.3">
      <c r="A15" s="2" t="s">
        <v>26</v>
      </c>
      <c r="B15" s="3" t="s">
        <v>17</v>
      </c>
      <c r="C15" s="4">
        <v>2008</v>
      </c>
      <c r="D15" s="5">
        <v>0.03</v>
      </c>
      <c r="E15" s="5">
        <v>0.06</v>
      </c>
      <c r="F15" s="5">
        <v>0.11</v>
      </c>
      <c r="G15" s="5">
        <v>0.21</v>
      </c>
      <c r="H15" s="5">
        <v>0.47</v>
      </c>
      <c r="I15" s="4">
        <f t="shared" si="0"/>
        <v>15.7</v>
      </c>
      <c r="J15" s="5">
        <v>0.17</v>
      </c>
      <c r="K15" s="5">
        <v>0.18</v>
      </c>
      <c r="L15" s="4">
        <v>149</v>
      </c>
    </row>
    <row r="16" spans="1:12" x14ac:dyDescent="0.3">
      <c r="A16" s="2" t="s">
        <v>27</v>
      </c>
      <c r="B16" s="3" t="s">
        <v>28</v>
      </c>
      <c r="C16" s="4">
        <v>2015</v>
      </c>
      <c r="D16" s="5">
        <v>0.6</v>
      </c>
      <c r="E16" s="5">
        <v>0.73</v>
      </c>
      <c r="F16" s="5">
        <v>0.81</v>
      </c>
      <c r="G16" s="5">
        <v>0.87</v>
      </c>
      <c r="H16" s="5">
        <v>0.95</v>
      </c>
      <c r="I16" s="4">
        <f t="shared" si="0"/>
        <v>1.6</v>
      </c>
      <c r="J16" s="5">
        <v>0.78</v>
      </c>
      <c r="K16" s="5">
        <v>0.79</v>
      </c>
      <c r="L16" s="4">
        <v>151</v>
      </c>
    </row>
    <row r="17" spans="1:12" x14ac:dyDescent="0.3">
      <c r="A17" s="2" t="s">
        <v>29</v>
      </c>
      <c r="B17" s="3" t="s">
        <v>17</v>
      </c>
      <c r="C17" s="4" t="s">
        <v>30</v>
      </c>
      <c r="D17" s="6" t="s">
        <v>31</v>
      </c>
      <c r="E17" s="6" t="s">
        <v>31</v>
      </c>
      <c r="F17" s="6" t="s">
        <v>31</v>
      </c>
      <c r="G17" s="6" t="s">
        <v>31</v>
      </c>
      <c r="H17" s="6" t="s">
        <v>31</v>
      </c>
      <c r="I17" s="7"/>
      <c r="J17" s="6" t="s">
        <v>31</v>
      </c>
      <c r="K17" s="6" t="s">
        <v>31</v>
      </c>
      <c r="L17" s="4">
        <v>153</v>
      </c>
    </row>
    <row r="18" spans="1:12" x14ac:dyDescent="0.3">
      <c r="A18" s="2" t="s">
        <v>32</v>
      </c>
      <c r="B18" s="3" t="s">
        <v>17</v>
      </c>
      <c r="C18" s="4">
        <v>2009</v>
      </c>
      <c r="D18" s="5">
        <v>0.15</v>
      </c>
      <c r="E18" s="5">
        <v>0.19</v>
      </c>
      <c r="F18" s="5">
        <v>0.26</v>
      </c>
      <c r="G18" s="5">
        <v>0.31</v>
      </c>
      <c r="H18" s="5">
        <v>0.38</v>
      </c>
      <c r="I18" s="4">
        <f t="shared" ref="I18:I24" si="1">IF(D18=0,"n/a",ROUND(H18/D18,1))</f>
        <v>2.5</v>
      </c>
      <c r="J18" s="5">
        <v>0.31</v>
      </c>
      <c r="K18" s="5">
        <v>0.25</v>
      </c>
      <c r="L18" s="4">
        <v>155</v>
      </c>
    </row>
    <row r="19" spans="1:12" x14ac:dyDescent="0.3">
      <c r="A19" s="2" t="s">
        <v>33</v>
      </c>
      <c r="B19" s="3" t="s">
        <v>15</v>
      </c>
      <c r="C19" s="4">
        <v>2013</v>
      </c>
      <c r="D19" s="5">
        <v>0.8</v>
      </c>
      <c r="E19" s="5">
        <v>0.87</v>
      </c>
      <c r="F19" s="5">
        <v>0.9</v>
      </c>
      <c r="G19" s="5">
        <v>0.93</v>
      </c>
      <c r="H19" s="5">
        <v>0.96</v>
      </c>
      <c r="I19" s="4">
        <f t="shared" si="1"/>
        <v>1.2</v>
      </c>
      <c r="J19" s="5">
        <v>0.91</v>
      </c>
      <c r="K19" s="5">
        <v>0.89</v>
      </c>
      <c r="L19" s="4">
        <v>157</v>
      </c>
    </row>
    <row r="20" spans="1:12" x14ac:dyDescent="0.3">
      <c r="A20" s="2" t="s">
        <v>34</v>
      </c>
      <c r="B20" s="3" t="s">
        <v>28</v>
      </c>
      <c r="C20" s="4">
        <v>2015</v>
      </c>
      <c r="D20" s="5">
        <v>0.7</v>
      </c>
      <c r="E20" s="5">
        <v>0.84</v>
      </c>
      <c r="F20" s="5">
        <v>0.92</v>
      </c>
      <c r="G20" s="5">
        <v>0.96</v>
      </c>
      <c r="H20" s="5">
        <v>0.99</v>
      </c>
      <c r="I20" s="4">
        <f t="shared" si="1"/>
        <v>1.4</v>
      </c>
      <c r="J20" s="5">
        <v>0.89</v>
      </c>
      <c r="K20" s="5">
        <v>0.88</v>
      </c>
      <c r="L20" s="4">
        <v>159</v>
      </c>
    </row>
    <row r="21" spans="1:12" x14ac:dyDescent="0.3">
      <c r="A21" s="2" t="s">
        <v>35</v>
      </c>
      <c r="B21" s="3" t="s">
        <v>17</v>
      </c>
      <c r="C21" s="4">
        <v>2009</v>
      </c>
      <c r="D21" s="5">
        <v>0.1</v>
      </c>
      <c r="E21" s="5">
        <v>0.26</v>
      </c>
      <c r="F21" s="5">
        <v>0.37</v>
      </c>
      <c r="G21" s="5">
        <v>0.48</v>
      </c>
      <c r="H21" s="5">
        <v>0.63</v>
      </c>
      <c r="I21" s="4">
        <f t="shared" si="1"/>
        <v>6.3</v>
      </c>
      <c r="J21" s="5">
        <v>0.26</v>
      </c>
      <c r="K21" s="5">
        <v>0.38</v>
      </c>
      <c r="L21" s="4">
        <v>161</v>
      </c>
    </row>
    <row r="22" spans="1:12" x14ac:dyDescent="0.3">
      <c r="A22" s="2" t="s">
        <v>36</v>
      </c>
      <c r="B22" s="3" t="s">
        <v>17</v>
      </c>
      <c r="C22" s="4">
        <v>2011</v>
      </c>
      <c r="D22" s="5">
        <v>0.03</v>
      </c>
      <c r="E22" s="5">
        <v>0.08</v>
      </c>
      <c r="F22" s="5">
        <v>0.15</v>
      </c>
      <c r="G22" s="5">
        <v>0.28999999999999998</v>
      </c>
      <c r="H22" s="5">
        <v>0.62</v>
      </c>
      <c r="I22" s="4">
        <f t="shared" si="1"/>
        <v>20.7</v>
      </c>
      <c r="J22" s="5">
        <v>0.22</v>
      </c>
      <c r="K22" s="5">
        <v>0.24</v>
      </c>
      <c r="L22" s="4">
        <v>163</v>
      </c>
    </row>
    <row r="23" spans="1:12" x14ac:dyDescent="0.3">
      <c r="A23" s="2" t="s">
        <v>37</v>
      </c>
      <c r="B23" s="3" t="s">
        <v>17</v>
      </c>
      <c r="C23" s="4">
        <v>2012</v>
      </c>
      <c r="D23" s="5">
        <v>0.01</v>
      </c>
      <c r="E23" s="5">
        <v>0.01</v>
      </c>
      <c r="F23" s="5">
        <v>0.02</v>
      </c>
      <c r="G23" s="5">
        <v>0.1</v>
      </c>
      <c r="H23" s="5">
        <v>0.38</v>
      </c>
      <c r="I23" s="4">
        <f t="shared" si="1"/>
        <v>38</v>
      </c>
      <c r="J23" s="5">
        <v>0.11</v>
      </c>
      <c r="K23" s="5">
        <v>0.1</v>
      </c>
      <c r="L23" s="4">
        <v>165</v>
      </c>
    </row>
    <row r="24" spans="1:12" x14ac:dyDescent="0.3">
      <c r="A24" s="2" t="s">
        <v>38</v>
      </c>
      <c r="B24" s="3" t="s">
        <v>17</v>
      </c>
      <c r="C24" s="4">
        <v>2010</v>
      </c>
      <c r="D24" s="5">
        <v>0.02</v>
      </c>
      <c r="E24" s="5">
        <v>0.05</v>
      </c>
      <c r="F24" s="5">
        <v>0.12</v>
      </c>
      <c r="G24" s="5">
        <v>0.34</v>
      </c>
      <c r="H24" s="5">
        <v>0.75</v>
      </c>
      <c r="I24" s="4">
        <f t="shared" si="1"/>
        <v>37.5</v>
      </c>
      <c r="J24" s="5">
        <v>0.21</v>
      </c>
      <c r="K24" s="5">
        <v>0.27</v>
      </c>
      <c r="L24" s="4">
        <v>167</v>
      </c>
    </row>
    <row r="26" spans="1:12" ht="30" customHeight="1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mergeCells count="2">
    <mergeCell ref="A1:K1"/>
    <mergeCell ref="A26:L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zoomScaleNormal="100" workbookViewId="0">
      <pane ySplit="3" topLeftCell="A41" activePane="bottomLeft" state="frozen"/>
      <selection pane="bottomLeft" sqref="A1:E1"/>
    </sheetView>
  </sheetViews>
  <sheetFormatPr defaultColWidth="8.6640625" defaultRowHeight="14.4" x14ac:dyDescent="0.3"/>
  <cols>
    <col min="1" max="1" width="16" customWidth="1"/>
    <col min="2" max="2" width="20" customWidth="1"/>
    <col min="3" max="3" width="12" customWidth="1"/>
    <col min="4" max="4" width="14" customWidth="1"/>
    <col min="5" max="5" width="16" customWidth="1"/>
  </cols>
  <sheetData>
    <row r="1" spans="1:5" ht="17.399999999999999" x14ac:dyDescent="0.3">
      <c r="A1" s="8" t="s">
        <v>39</v>
      </c>
      <c r="B1" s="8"/>
      <c r="C1" s="8"/>
      <c r="D1" s="8"/>
      <c r="E1" s="8"/>
    </row>
    <row r="3" spans="1:5" x14ac:dyDescent="0.3">
      <c r="A3" s="1" t="s">
        <v>2</v>
      </c>
      <c r="B3" s="1" t="s">
        <v>3</v>
      </c>
      <c r="C3" s="1" t="s">
        <v>4</v>
      </c>
      <c r="D3" s="1" t="s">
        <v>40</v>
      </c>
      <c r="E3" s="1" t="s">
        <v>41</v>
      </c>
    </row>
    <row r="4" spans="1:5" x14ac:dyDescent="0.3">
      <c r="A4" s="3" t="s">
        <v>14</v>
      </c>
      <c r="B4" s="3" t="s">
        <v>15</v>
      </c>
      <c r="C4" s="4">
        <v>2010</v>
      </c>
      <c r="D4" s="4" t="s">
        <v>5</v>
      </c>
      <c r="E4" s="5">
        <v>0.27</v>
      </c>
    </row>
    <row r="5" spans="1:5" x14ac:dyDescent="0.3">
      <c r="A5" s="3" t="s">
        <v>14</v>
      </c>
      <c r="B5" s="3" t="s">
        <v>15</v>
      </c>
      <c r="C5" s="4">
        <v>2010</v>
      </c>
      <c r="D5" s="4" t="s">
        <v>6</v>
      </c>
      <c r="E5" s="5">
        <v>0.43</v>
      </c>
    </row>
    <row r="6" spans="1:5" x14ac:dyDescent="0.3">
      <c r="A6" s="3" t="s">
        <v>14</v>
      </c>
      <c r="B6" s="3" t="s">
        <v>15</v>
      </c>
      <c r="C6" s="4">
        <v>2010</v>
      </c>
      <c r="D6" s="4" t="s">
        <v>7</v>
      </c>
      <c r="E6" s="5">
        <v>0.56999999999999995</v>
      </c>
    </row>
    <row r="7" spans="1:5" x14ac:dyDescent="0.3">
      <c r="A7" s="3" t="s">
        <v>14</v>
      </c>
      <c r="B7" s="3" t="s">
        <v>15</v>
      </c>
      <c r="C7" s="4">
        <v>2010</v>
      </c>
      <c r="D7" s="4" t="s">
        <v>8</v>
      </c>
      <c r="E7" s="5">
        <v>0.69</v>
      </c>
    </row>
    <row r="8" spans="1:5" x14ac:dyDescent="0.3">
      <c r="A8" s="3" t="s">
        <v>14</v>
      </c>
      <c r="B8" s="3" t="s">
        <v>15</v>
      </c>
      <c r="C8" s="4">
        <v>2010</v>
      </c>
      <c r="D8" s="4" t="s">
        <v>9</v>
      </c>
      <c r="E8" s="5">
        <v>0.85</v>
      </c>
    </row>
    <row r="9" spans="1:5" x14ac:dyDescent="0.3">
      <c r="A9" s="3" t="s">
        <v>16</v>
      </c>
      <c r="B9" s="3" t="s">
        <v>17</v>
      </c>
      <c r="C9" s="4">
        <v>2009</v>
      </c>
      <c r="D9" s="4" t="s">
        <v>5</v>
      </c>
      <c r="E9" s="5">
        <v>0.01</v>
      </c>
    </row>
    <row r="10" spans="1:5" x14ac:dyDescent="0.3">
      <c r="A10" s="3" t="s">
        <v>16</v>
      </c>
      <c r="B10" s="3" t="s">
        <v>17</v>
      </c>
      <c r="C10" s="4">
        <v>2009</v>
      </c>
      <c r="D10" s="4" t="s">
        <v>6</v>
      </c>
      <c r="E10" s="5">
        <v>0.02</v>
      </c>
    </row>
    <row r="11" spans="1:5" x14ac:dyDescent="0.3">
      <c r="A11" s="3" t="s">
        <v>16</v>
      </c>
      <c r="B11" s="3" t="s">
        <v>17</v>
      </c>
      <c r="C11" s="4">
        <v>2009</v>
      </c>
      <c r="D11" s="4" t="s">
        <v>7</v>
      </c>
      <c r="E11" s="5">
        <v>0.05</v>
      </c>
    </row>
    <row r="12" spans="1:5" x14ac:dyDescent="0.3">
      <c r="A12" s="3" t="s">
        <v>16</v>
      </c>
      <c r="B12" s="3" t="s">
        <v>17</v>
      </c>
      <c r="C12" s="4">
        <v>2009</v>
      </c>
      <c r="D12" s="4" t="s">
        <v>8</v>
      </c>
      <c r="E12" s="5">
        <v>0.11</v>
      </c>
    </row>
    <row r="13" spans="1:5" x14ac:dyDescent="0.3">
      <c r="A13" s="3" t="s">
        <v>16</v>
      </c>
      <c r="B13" s="3" t="s">
        <v>17</v>
      </c>
      <c r="C13" s="4">
        <v>2009</v>
      </c>
      <c r="D13" s="4" t="s">
        <v>9</v>
      </c>
      <c r="E13" s="5">
        <v>0.39</v>
      </c>
    </row>
    <row r="14" spans="1:5" x14ac:dyDescent="0.3">
      <c r="A14" s="3" t="s">
        <v>18</v>
      </c>
      <c r="B14" s="3" t="s">
        <v>17</v>
      </c>
      <c r="C14" s="4">
        <v>2011</v>
      </c>
      <c r="D14" s="4" t="s">
        <v>5</v>
      </c>
      <c r="E14" s="5">
        <v>0.01</v>
      </c>
    </row>
    <row r="15" spans="1:5" x14ac:dyDescent="0.3">
      <c r="A15" s="3" t="s">
        <v>18</v>
      </c>
      <c r="B15" s="3" t="s">
        <v>17</v>
      </c>
      <c r="C15" s="4">
        <v>2011</v>
      </c>
      <c r="D15" s="4" t="s">
        <v>6</v>
      </c>
      <c r="E15" s="5">
        <v>0.02</v>
      </c>
    </row>
    <row r="16" spans="1:5" x14ac:dyDescent="0.3">
      <c r="A16" s="3" t="s">
        <v>18</v>
      </c>
      <c r="B16" s="3" t="s">
        <v>17</v>
      </c>
      <c r="C16" s="4">
        <v>2011</v>
      </c>
      <c r="D16" s="4" t="s">
        <v>7</v>
      </c>
      <c r="E16" s="5">
        <v>0.05</v>
      </c>
    </row>
    <row r="17" spans="1:5" x14ac:dyDescent="0.3">
      <c r="A17" s="3" t="s">
        <v>18</v>
      </c>
      <c r="B17" s="3" t="s">
        <v>17</v>
      </c>
      <c r="C17" s="4">
        <v>2011</v>
      </c>
      <c r="D17" s="4" t="s">
        <v>8</v>
      </c>
      <c r="E17" s="5">
        <v>0.1</v>
      </c>
    </row>
    <row r="18" spans="1:5" x14ac:dyDescent="0.3">
      <c r="A18" s="3" t="s">
        <v>18</v>
      </c>
      <c r="B18" s="3" t="s">
        <v>17</v>
      </c>
      <c r="C18" s="4">
        <v>2011</v>
      </c>
      <c r="D18" s="4" t="s">
        <v>9</v>
      </c>
      <c r="E18" s="5">
        <v>0.21</v>
      </c>
    </row>
    <row r="19" spans="1:5" x14ac:dyDescent="0.3">
      <c r="A19" s="3" t="s">
        <v>19</v>
      </c>
      <c r="B19" s="3" t="s">
        <v>17</v>
      </c>
      <c r="C19" s="4">
        <v>2012</v>
      </c>
      <c r="D19" s="4" t="s">
        <v>5</v>
      </c>
      <c r="E19" s="5">
        <v>0.01</v>
      </c>
    </row>
    <row r="20" spans="1:5" x14ac:dyDescent="0.3">
      <c r="A20" s="3" t="s">
        <v>19</v>
      </c>
      <c r="B20" s="3" t="s">
        <v>17</v>
      </c>
      <c r="C20" s="4">
        <v>2012</v>
      </c>
      <c r="D20" s="4" t="s">
        <v>6</v>
      </c>
      <c r="E20" s="5">
        <v>0.02</v>
      </c>
    </row>
    <row r="21" spans="1:5" x14ac:dyDescent="0.3">
      <c r="A21" s="3" t="s">
        <v>19</v>
      </c>
      <c r="B21" s="3" t="s">
        <v>17</v>
      </c>
      <c r="C21" s="4">
        <v>2012</v>
      </c>
      <c r="D21" s="4" t="s">
        <v>7</v>
      </c>
      <c r="E21" s="5">
        <v>0.04</v>
      </c>
    </row>
    <row r="22" spans="1:5" x14ac:dyDescent="0.3">
      <c r="A22" s="3" t="s">
        <v>19</v>
      </c>
      <c r="B22" s="3" t="s">
        <v>17</v>
      </c>
      <c r="C22" s="4">
        <v>2012</v>
      </c>
      <c r="D22" s="4" t="s">
        <v>8</v>
      </c>
      <c r="E22" s="5">
        <v>0.11</v>
      </c>
    </row>
    <row r="23" spans="1:5" x14ac:dyDescent="0.3">
      <c r="A23" s="3" t="s">
        <v>19</v>
      </c>
      <c r="B23" s="3" t="s">
        <v>17</v>
      </c>
      <c r="C23" s="4">
        <v>2012</v>
      </c>
      <c r="D23" s="4" t="s">
        <v>9</v>
      </c>
      <c r="E23" s="5">
        <v>0.36</v>
      </c>
    </row>
    <row r="24" spans="1:5" x14ac:dyDescent="0.3">
      <c r="A24" s="3" t="s">
        <v>20</v>
      </c>
      <c r="B24" s="3" t="s">
        <v>17</v>
      </c>
      <c r="C24" s="4">
        <v>2010</v>
      </c>
      <c r="D24" s="4" t="s">
        <v>5</v>
      </c>
      <c r="E24" s="5">
        <v>0.44</v>
      </c>
    </row>
    <row r="25" spans="1:5" x14ac:dyDescent="0.3">
      <c r="A25" s="3" t="s">
        <v>20</v>
      </c>
      <c r="B25" s="3" t="s">
        <v>17</v>
      </c>
      <c r="C25" s="4">
        <v>2010</v>
      </c>
      <c r="D25" s="4" t="s">
        <v>6</v>
      </c>
      <c r="E25" s="5">
        <v>0.48</v>
      </c>
    </row>
    <row r="26" spans="1:5" x14ac:dyDescent="0.3">
      <c r="A26" s="3" t="s">
        <v>20</v>
      </c>
      <c r="B26" s="3" t="s">
        <v>17</v>
      </c>
      <c r="C26" s="4">
        <v>2010</v>
      </c>
      <c r="D26" s="4" t="s">
        <v>7</v>
      </c>
      <c r="E26" s="5">
        <v>0.53</v>
      </c>
    </row>
    <row r="27" spans="1:5" x14ac:dyDescent="0.3">
      <c r="A27" s="3" t="s">
        <v>20</v>
      </c>
      <c r="B27" s="3" t="s">
        <v>17</v>
      </c>
      <c r="C27" s="4">
        <v>2010</v>
      </c>
      <c r="D27" s="4" t="s">
        <v>8</v>
      </c>
      <c r="E27" s="5">
        <v>0.62</v>
      </c>
    </row>
    <row r="28" spans="1:5" x14ac:dyDescent="0.3">
      <c r="A28" s="3" t="s">
        <v>20</v>
      </c>
      <c r="B28" s="3" t="s">
        <v>17</v>
      </c>
      <c r="C28" s="4">
        <v>2010</v>
      </c>
      <c r="D28" s="4" t="s">
        <v>9</v>
      </c>
      <c r="E28" s="5">
        <v>0.72</v>
      </c>
    </row>
    <row r="29" spans="1:5" x14ac:dyDescent="0.3">
      <c r="A29" s="3" t="s">
        <v>21</v>
      </c>
      <c r="B29" s="3" t="s">
        <v>15</v>
      </c>
      <c r="C29" s="4">
        <v>2011</v>
      </c>
      <c r="D29" s="4" t="s">
        <v>5</v>
      </c>
      <c r="E29" s="5">
        <v>0.66</v>
      </c>
    </row>
    <row r="30" spans="1:5" x14ac:dyDescent="0.3">
      <c r="A30" s="3" t="s">
        <v>21</v>
      </c>
      <c r="B30" s="3" t="s">
        <v>15</v>
      </c>
      <c r="C30" s="4">
        <v>2011</v>
      </c>
      <c r="D30" s="4" t="s">
        <v>6</v>
      </c>
      <c r="E30" s="5">
        <v>0.82</v>
      </c>
    </row>
    <row r="31" spans="1:5" x14ac:dyDescent="0.3">
      <c r="A31" s="3" t="s">
        <v>21</v>
      </c>
      <c r="B31" s="3" t="s">
        <v>15</v>
      </c>
      <c r="C31" s="4">
        <v>2011</v>
      </c>
      <c r="D31" s="4" t="s">
        <v>7</v>
      </c>
      <c r="E31" s="5">
        <v>0.89</v>
      </c>
    </row>
    <row r="32" spans="1:5" x14ac:dyDescent="0.3">
      <c r="A32" s="3" t="s">
        <v>21</v>
      </c>
      <c r="B32" s="3" t="s">
        <v>15</v>
      </c>
      <c r="C32" s="4">
        <v>2011</v>
      </c>
      <c r="D32" s="4" t="s">
        <v>8</v>
      </c>
      <c r="E32" s="5">
        <v>0.94</v>
      </c>
    </row>
    <row r="33" spans="1:5" x14ac:dyDescent="0.3">
      <c r="A33" s="3" t="s">
        <v>21</v>
      </c>
      <c r="B33" s="3" t="s">
        <v>15</v>
      </c>
      <c r="C33" s="4">
        <v>2011</v>
      </c>
      <c r="D33" s="4" t="s">
        <v>9</v>
      </c>
      <c r="E33" s="5">
        <v>0.97</v>
      </c>
    </row>
    <row r="34" spans="1:5" x14ac:dyDescent="0.3">
      <c r="A34" s="3" t="s">
        <v>22</v>
      </c>
      <c r="B34" s="3" t="s">
        <v>17</v>
      </c>
      <c r="C34" s="4">
        <v>2005</v>
      </c>
      <c r="D34" s="4" t="s">
        <v>5</v>
      </c>
      <c r="E34" s="5">
        <v>0</v>
      </c>
    </row>
    <row r="35" spans="1:5" x14ac:dyDescent="0.3">
      <c r="A35" s="3" t="s">
        <v>22</v>
      </c>
      <c r="B35" s="3" t="s">
        <v>17</v>
      </c>
      <c r="C35" s="4">
        <v>2005</v>
      </c>
      <c r="D35" s="4" t="s">
        <v>6</v>
      </c>
      <c r="E35" s="5">
        <v>0.01</v>
      </c>
    </row>
    <row r="36" spans="1:5" x14ac:dyDescent="0.3">
      <c r="A36" s="3" t="s">
        <v>22</v>
      </c>
      <c r="B36" s="3" t="s">
        <v>17</v>
      </c>
      <c r="C36" s="4">
        <v>2005</v>
      </c>
      <c r="D36" s="4" t="s">
        <v>7</v>
      </c>
      <c r="E36" s="5">
        <v>0.04</v>
      </c>
    </row>
    <row r="37" spans="1:5" x14ac:dyDescent="0.3">
      <c r="A37" s="3" t="s">
        <v>22</v>
      </c>
      <c r="B37" s="3" t="s">
        <v>17</v>
      </c>
      <c r="C37" s="4">
        <v>2005</v>
      </c>
      <c r="D37" s="4" t="s">
        <v>8</v>
      </c>
      <c r="E37" s="5">
        <v>0.12</v>
      </c>
    </row>
    <row r="38" spans="1:5" x14ac:dyDescent="0.3">
      <c r="A38" s="3" t="s">
        <v>22</v>
      </c>
      <c r="B38" s="3" t="s">
        <v>17</v>
      </c>
      <c r="C38" s="4">
        <v>2005</v>
      </c>
      <c r="D38" s="4" t="s">
        <v>9</v>
      </c>
      <c r="E38" s="5">
        <v>0.43</v>
      </c>
    </row>
    <row r="39" spans="1:5" x14ac:dyDescent="0.3">
      <c r="A39" s="3" t="s">
        <v>23</v>
      </c>
      <c r="B39" s="3" t="s">
        <v>17</v>
      </c>
      <c r="C39" s="4">
        <v>2010</v>
      </c>
      <c r="D39" s="4" t="s">
        <v>5</v>
      </c>
      <c r="E39" s="5">
        <v>0.01</v>
      </c>
    </row>
    <row r="40" spans="1:5" x14ac:dyDescent="0.3">
      <c r="A40" s="3" t="s">
        <v>23</v>
      </c>
      <c r="B40" s="3" t="s">
        <v>17</v>
      </c>
      <c r="C40" s="4">
        <v>2010</v>
      </c>
      <c r="D40" s="4" t="s">
        <v>6</v>
      </c>
      <c r="E40" s="5">
        <v>0.03</v>
      </c>
    </row>
    <row r="41" spans="1:5" x14ac:dyDescent="0.3">
      <c r="A41" s="3" t="s">
        <v>23</v>
      </c>
      <c r="B41" s="3" t="s">
        <v>17</v>
      </c>
      <c r="C41" s="4">
        <v>2010</v>
      </c>
      <c r="D41" s="4" t="s">
        <v>7</v>
      </c>
      <c r="E41" s="5">
        <v>7.0000000000000007E-2</v>
      </c>
    </row>
    <row r="42" spans="1:5" x14ac:dyDescent="0.3">
      <c r="A42" s="3" t="s">
        <v>23</v>
      </c>
      <c r="B42" s="3" t="s">
        <v>17</v>
      </c>
      <c r="C42" s="4">
        <v>2010</v>
      </c>
      <c r="D42" s="4" t="s">
        <v>8</v>
      </c>
      <c r="E42" s="5">
        <v>0.19</v>
      </c>
    </row>
    <row r="43" spans="1:5" x14ac:dyDescent="0.3">
      <c r="A43" s="3" t="s">
        <v>23</v>
      </c>
      <c r="B43" s="3" t="s">
        <v>17</v>
      </c>
      <c r="C43" s="4">
        <v>2010</v>
      </c>
      <c r="D43" s="4" t="s">
        <v>9</v>
      </c>
      <c r="E43" s="5">
        <v>0.54</v>
      </c>
    </row>
    <row r="44" spans="1:5" x14ac:dyDescent="0.3">
      <c r="A44" s="3" t="s">
        <v>24</v>
      </c>
      <c r="B44" s="3" t="s">
        <v>17</v>
      </c>
      <c r="C44" s="4">
        <v>2010</v>
      </c>
      <c r="D44" s="4" t="s">
        <v>5</v>
      </c>
      <c r="E44" s="5">
        <v>0.01</v>
      </c>
    </row>
    <row r="45" spans="1:5" x14ac:dyDescent="0.3">
      <c r="A45" s="3" t="s">
        <v>24</v>
      </c>
      <c r="B45" s="3" t="s">
        <v>17</v>
      </c>
      <c r="C45" s="4">
        <v>2010</v>
      </c>
      <c r="D45" s="4" t="s">
        <v>6</v>
      </c>
      <c r="E45" s="5">
        <v>0.01</v>
      </c>
    </row>
    <row r="46" spans="1:5" x14ac:dyDescent="0.3">
      <c r="A46" s="3" t="s">
        <v>24</v>
      </c>
      <c r="B46" s="3" t="s">
        <v>17</v>
      </c>
      <c r="C46" s="4">
        <v>2010</v>
      </c>
      <c r="D46" s="4" t="s">
        <v>7</v>
      </c>
      <c r="E46" s="5">
        <v>0.01</v>
      </c>
    </row>
    <row r="47" spans="1:5" x14ac:dyDescent="0.3">
      <c r="A47" s="3" t="s">
        <v>24</v>
      </c>
      <c r="B47" s="3" t="s">
        <v>17</v>
      </c>
      <c r="C47" s="4">
        <v>2010</v>
      </c>
      <c r="D47" s="4" t="s">
        <v>8</v>
      </c>
      <c r="E47" s="5">
        <v>0.04</v>
      </c>
    </row>
    <row r="48" spans="1:5" x14ac:dyDescent="0.3">
      <c r="A48" s="3" t="s">
        <v>24</v>
      </c>
      <c r="B48" s="3" t="s">
        <v>17</v>
      </c>
      <c r="C48" s="4">
        <v>2010</v>
      </c>
      <c r="D48" s="4" t="s">
        <v>9</v>
      </c>
      <c r="E48" s="5">
        <v>0.28999999999999998</v>
      </c>
    </row>
    <row r="49" spans="1:5" x14ac:dyDescent="0.3">
      <c r="A49" s="3" t="s">
        <v>25</v>
      </c>
      <c r="B49" s="3" t="s">
        <v>17</v>
      </c>
      <c r="C49" s="4">
        <v>2010</v>
      </c>
      <c r="D49" s="4" t="s">
        <v>5</v>
      </c>
      <c r="E49" s="5">
        <v>0.03</v>
      </c>
    </row>
    <row r="50" spans="1:5" x14ac:dyDescent="0.3">
      <c r="A50" s="3" t="s">
        <v>25</v>
      </c>
      <c r="B50" s="3" t="s">
        <v>17</v>
      </c>
      <c r="C50" s="4">
        <v>2010</v>
      </c>
      <c r="D50" s="4" t="s">
        <v>6</v>
      </c>
      <c r="E50" s="5">
        <v>0.05</v>
      </c>
    </row>
    <row r="51" spans="1:5" x14ac:dyDescent="0.3">
      <c r="A51" s="3" t="s">
        <v>25</v>
      </c>
      <c r="B51" s="3" t="s">
        <v>17</v>
      </c>
      <c r="C51" s="4">
        <v>2010</v>
      </c>
      <c r="D51" s="4" t="s">
        <v>7</v>
      </c>
      <c r="E51" s="5">
        <v>0.1</v>
      </c>
    </row>
    <row r="52" spans="1:5" x14ac:dyDescent="0.3">
      <c r="A52" s="3" t="s">
        <v>25</v>
      </c>
      <c r="B52" s="3" t="s">
        <v>17</v>
      </c>
      <c r="C52" s="4">
        <v>2010</v>
      </c>
      <c r="D52" s="4" t="s">
        <v>8</v>
      </c>
      <c r="E52" s="5">
        <v>0.19</v>
      </c>
    </row>
    <row r="53" spans="1:5" x14ac:dyDescent="0.3">
      <c r="A53" s="3" t="s">
        <v>25</v>
      </c>
      <c r="B53" s="3" t="s">
        <v>17</v>
      </c>
      <c r="C53" s="4">
        <v>2010</v>
      </c>
      <c r="D53" s="4" t="s">
        <v>9</v>
      </c>
      <c r="E53" s="5">
        <v>0.53</v>
      </c>
    </row>
    <row r="54" spans="1:5" x14ac:dyDescent="0.3">
      <c r="A54" s="3" t="s">
        <v>26</v>
      </c>
      <c r="B54" s="3" t="s">
        <v>17</v>
      </c>
      <c r="C54" s="4">
        <v>2008</v>
      </c>
      <c r="D54" s="4" t="s">
        <v>5</v>
      </c>
      <c r="E54" s="5">
        <v>0.03</v>
      </c>
    </row>
    <row r="55" spans="1:5" x14ac:dyDescent="0.3">
      <c r="A55" s="3" t="s">
        <v>26</v>
      </c>
      <c r="B55" s="3" t="s">
        <v>17</v>
      </c>
      <c r="C55" s="4">
        <v>2008</v>
      </c>
      <c r="D55" s="4" t="s">
        <v>6</v>
      </c>
      <c r="E55" s="5">
        <v>0.06</v>
      </c>
    </row>
    <row r="56" spans="1:5" x14ac:dyDescent="0.3">
      <c r="A56" s="3" t="s">
        <v>26</v>
      </c>
      <c r="B56" s="3" t="s">
        <v>17</v>
      </c>
      <c r="C56" s="4">
        <v>2008</v>
      </c>
      <c r="D56" s="4" t="s">
        <v>7</v>
      </c>
      <c r="E56" s="5">
        <v>0.11</v>
      </c>
    </row>
    <row r="57" spans="1:5" x14ac:dyDescent="0.3">
      <c r="A57" s="3" t="s">
        <v>26</v>
      </c>
      <c r="B57" s="3" t="s">
        <v>17</v>
      </c>
      <c r="C57" s="4">
        <v>2008</v>
      </c>
      <c r="D57" s="4" t="s">
        <v>8</v>
      </c>
      <c r="E57" s="5">
        <v>0.21</v>
      </c>
    </row>
    <row r="58" spans="1:5" x14ac:dyDescent="0.3">
      <c r="A58" s="3" t="s">
        <v>26</v>
      </c>
      <c r="B58" s="3" t="s">
        <v>17</v>
      </c>
      <c r="C58" s="4">
        <v>2008</v>
      </c>
      <c r="D58" s="4" t="s">
        <v>9</v>
      </c>
      <c r="E58" s="5">
        <v>0.47</v>
      </c>
    </row>
    <row r="59" spans="1:5" x14ac:dyDescent="0.3">
      <c r="A59" s="3" t="s">
        <v>27</v>
      </c>
      <c r="B59" s="3" t="s">
        <v>28</v>
      </c>
      <c r="C59" s="4">
        <v>2015</v>
      </c>
      <c r="D59" s="4" t="s">
        <v>5</v>
      </c>
      <c r="E59" s="5">
        <v>0.6</v>
      </c>
    </row>
    <row r="60" spans="1:5" x14ac:dyDescent="0.3">
      <c r="A60" s="3" t="s">
        <v>27</v>
      </c>
      <c r="B60" s="3" t="s">
        <v>28</v>
      </c>
      <c r="C60" s="4">
        <v>2015</v>
      </c>
      <c r="D60" s="4" t="s">
        <v>6</v>
      </c>
      <c r="E60" s="5">
        <v>0.73</v>
      </c>
    </row>
    <row r="61" spans="1:5" x14ac:dyDescent="0.3">
      <c r="A61" s="3" t="s">
        <v>27</v>
      </c>
      <c r="B61" s="3" t="s">
        <v>28</v>
      </c>
      <c r="C61" s="4">
        <v>2015</v>
      </c>
      <c r="D61" s="4" t="s">
        <v>7</v>
      </c>
      <c r="E61" s="5">
        <v>0.81</v>
      </c>
    </row>
    <row r="62" spans="1:5" x14ac:dyDescent="0.3">
      <c r="A62" s="3" t="s">
        <v>27</v>
      </c>
      <c r="B62" s="3" t="s">
        <v>28</v>
      </c>
      <c r="C62" s="4">
        <v>2015</v>
      </c>
      <c r="D62" s="4" t="s">
        <v>8</v>
      </c>
      <c r="E62" s="5">
        <v>0.87</v>
      </c>
    </row>
    <row r="63" spans="1:5" x14ac:dyDescent="0.3">
      <c r="A63" s="3" t="s">
        <v>27</v>
      </c>
      <c r="B63" s="3" t="s">
        <v>28</v>
      </c>
      <c r="C63" s="4">
        <v>2015</v>
      </c>
      <c r="D63" s="4" t="s">
        <v>9</v>
      </c>
      <c r="E63" s="5">
        <v>0.95</v>
      </c>
    </row>
    <row r="64" spans="1:5" x14ac:dyDescent="0.3">
      <c r="A64" s="3" t="s">
        <v>32</v>
      </c>
      <c r="B64" s="3" t="s">
        <v>17</v>
      </c>
      <c r="C64" s="4">
        <v>2009</v>
      </c>
      <c r="D64" s="4" t="s">
        <v>5</v>
      </c>
      <c r="E64" s="5">
        <v>0.15</v>
      </c>
    </row>
    <row r="65" spans="1:5" x14ac:dyDescent="0.3">
      <c r="A65" s="3" t="s">
        <v>32</v>
      </c>
      <c r="B65" s="3" t="s">
        <v>17</v>
      </c>
      <c r="C65" s="4">
        <v>2009</v>
      </c>
      <c r="D65" s="4" t="s">
        <v>6</v>
      </c>
      <c r="E65" s="5">
        <v>0.19</v>
      </c>
    </row>
    <row r="66" spans="1:5" x14ac:dyDescent="0.3">
      <c r="A66" s="3" t="s">
        <v>32</v>
      </c>
      <c r="B66" s="3" t="s">
        <v>17</v>
      </c>
      <c r="C66" s="4">
        <v>2009</v>
      </c>
      <c r="D66" s="4" t="s">
        <v>7</v>
      </c>
      <c r="E66" s="5">
        <v>0.26</v>
      </c>
    </row>
    <row r="67" spans="1:5" x14ac:dyDescent="0.3">
      <c r="A67" s="3" t="s">
        <v>32</v>
      </c>
      <c r="B67" s="3" t="s">
        <v>17</v>
      </c>
      <c r="C67" s="4">
        <v>2009</v>
      </c>
      <c r="D67" s="4" t="s">
        <v>8</v>
      </c>
      <c r="E67" s="5">
        <v>0.31</v>
      </c>
    </row>
    <row r="68" spans="1:5" x14ac:dyDescent="0.3">
      <c r="A68" s="3" t="s">
        <v>32</v>
      </c>
      <c r="B68" s="3" t="s">
        <v>17</v>
      </c>
      <c r="C68" s="4">
        <v>2009</v>
      </c>
      <c r="D68" s="4" t="s">
        <v>9</v>
      </c>
      <c r="E68" s="5">
        <v>0.38</v>
      </c>
    </row>
    <row r="69" spans="1:5" x14ac:dyDescent="0.3">
      <c r="A69" s="3" t="s">
        <v>33</v>
      </c>
      <c r="B69" s="3" t="s">
        <v>15</v>
      </c>
      <c r="C69" s="4">
        <v>2013</v>
      </c>
      <c r="D69" s="4" t="s">
        <v>5</v>
      </c>
      <c r="E69" s="5">
        <v>0.8</v>
      </c>
    </row>
    <row r="70" spans="1:5" x14ac:dyDescent="0.3">
      <c r="A70" s="3" t="s">
        <v>33</v>
      </c>
      <c r="B70" s="3" t="s">
        <v>15</v>
      </c>
      <c r="C70" s="4">
        <v>2013</v>
      </c>
      <c r="D70" s="4" t="s">
        <v>6</v>
      </c>
      <c r="E70" s="5">
        <v>0.87</v>
      </c>
    </row>
    <row r="71" spans="1:5" x14ac:dyDescent="0.3">
      <c r="A71" s="3" t="s">
        <v>33</v>
      </c>
      <c r="B71" s="3" t="s">
        <v>15</v>
      </c>
      <c r="C71" s="4">
        <v>2013</v>
      </c>
      <c r="D71" s="4" t="s">
        <v>7</v>
      </c>
      <c r="E71" s="5">
        <v>0.9</v>
      </c>
    </row>
    <row r="72" spans="1:5" x14ac:dyDescent="0.3">
      <c r="A72" s="3" t="s">
        <v>33</v>
      </c>
      <c r="B72" s="3" t="s">
        <v>15</v>
      </c>
      <c r="C72" s="4">
        <v>2013</v>
      </c>
      <c r="D72" s="4" t="s">
        <v>8</v>
      </c>
      <c r="E72" s="5">
        <v>0.93</v>
      </c>
    </row>
    <row r="73" spans="1:5" x14ac:dyDescent="0.3">
      <c r="A73" s="3" t="s">
        <v>33</v>
      </c>
      <c r="B73" s="3" t="s">
        <v>15</v>
      </c>
      <c r="C73" s="4">
        <v>2013</v>
      </c>
      <c r="D73" s="4" t="s">
        <v>9</v>
      </c>
      <c r="E73" s="5">
        <v>0.96</v>
      </c>
    </row>
    <row r="74" spans="1:5" x14ac:dyDescent="0.3">
      <c r="A74" s="3" t="s">
        <v>34</v>
      </c>
      <c r="B74" s="3" t="s">
        <v>28</v>
      </c>
      <c r="C74" s="4">
        <v>2015</v>
      </c>
      <c r="D74" s="4" t="s">
        <v>5</v>
      </c>
      <c r="E74" s="5">
        <v>0.7</v>
      </c>
    </row>
    <row r="75" spans="1:5" x14ac:dyDescent="0.3">
      <c r="A75" s="3" t="s">
        <v>34</v>
      </c>
      <c r="B75" s="3" t="s">
        <v>28</v>
      </c>
      <c r="C75" s="4">
        <v>2015</v>
      </c>
      <c r="D75" s="4" t="s">
        <v>6</v>
      </c>
      <c r="E75" s="5">
        <v>0.84</v>
      </c>
    </row>
    <row r="76" spans="1:5" x14ac:dyDescent="0.3">
      <c r="A76" s="3" t="s">
        <v>34</v>
      </c>
      <c r="B76" s="3" t="s">
        <v>28</v>
      </c>
      <c r="C76" s="4">
        <v>2015</v>
      </c>
      <c r="D76" s="4" t="s">
        <v>7</v>
      </c>
      <c r="E76" s="5">
        <v>0.92</v>
      </c>
    </row>
    <row r="77" spans="1:5" x14ac:dyDescent="0.3">
      <c r="A77" s="3" t="s">
        <v>34</v>
      </c>
      <c r="B77" s="3" t="s">
        <v>28</v>
      </c>
      <c r="C77" s="4">
        <v>2015</v>
      </c>
      <c r="D77" s="4" t="s">
        <v>8</v>
      </c>
      <c r="E77" s="5">
        <v>0.96</v>
      </c>
    </row>
    <row r="78" spans="1:5" x14ac:dyDescent="0.3">
      <c r="A78" s="3" t="s">
        <v>34</v>
      </c>
      <c r="B78" s="3" t="s">
        <v>28</v>
      </c>
      <c r="C78" s="4">
        <v>2015</v>
      </c>
      <c r="D78" s="4" t="s">
        <v>9</v>
      </c>
      <c r="E78" s="5">
        <v>0.99</v>
      </c>
    </row>
    <row r="79" spans="1:5" x14ac:dyDescent="0.3">
      <c r="A79" s="3" t="s">
        <v>35</v>
      </c>
      <c r="B79" s="3" t="s">
        <v>17</v>
      </c>
      <c r="C79" s="4">
        <v>2009</v>
      </c>
      <c r="D79" s="4" t="s">
        <v>5</v>
      </c>
      <c r="E79" s="5">
        <v>0.1</v>
      </c>
    </row>
    <row r="80" spans="1:5" x14ac:dyDescent="0.3">
      <c r="A80" s="3" t="s">
        <v>35</v>
      </c>
      <c r="B80" s="3" t="s">
        <v>17</v>
      </c>
      <c r="C80" s="4">
        <v>2009</v>
      </c>
      <c r="D80" s="4" t="s">
        <v>6</v>
      </c>
      <c r="E80" s="5">
        <v>0.26</v>
      </c>
    </row>
    <row r="81" spans="1:5" x14ac:dyDescent="0.3">
      <c r="A81" s="3" t="s">
        <v>35</v>
      </c>
      <c r="B81" s="3" t="s">
        <v>17</v>
      </c>
      <c r="C81" s="4">
        <v>2009</v>
      </c>
      <c r="D81" s="4" t="s">
        <v>7</v>
      </c>
      <c r="E81" s="5">
        <v>0.37</v>
      </c>
    </row>
    <row r="82" spans="1:5" x14ac:dyDescent="0.3">
      <c r="A82" s="3" t="s">
        <v>35</v>
      </c>
      <c r="B82" s="3" t="s">
        <v>17</v>
      </c>
      <c r="C82" s="4">
        <v>2009</v>
      </c>
      <c r="D82" s="4" t="s">
        <v>8</v>
      </c>
      <c r="E82" s="5">
        <v>0.48</v>
      </c>
    </row>
    <row r="83" spans="1:5" x14ac:dyDescent="0.3">
      <c r="A83" s="3" t="s">
        <v>35</v>
      </c>
      <c r="B83" s="3" t="s">
        <v>17</v>
      </c>
      <c r="C83" s="4">
        <v>2009</v>
      </c>
      <c r="D83" s="4" t="s">
        <v>9</v>
      </c>
      <c r="E83" s="5">
        <v>0.63</v>
      </c>
    </row>
    <row r="84" spans="1:5" x14ac:dyDescent="0.3">
      <c r="A84" s="3" t="s">
        <v>36</v>
      </c>
      <c r="B84" s="3" t="s">
        <v>17</v>
      </c>
      <c r="C84" s="4">
        <v>2011</v>
      </c>
      <c r="D84" s="4" t="s">
        <v>5</v>
      </c>
      <c r="E84" s="5">
        <v>0.03</v>
      </c>
    </row>
    <row r="85" spans="1:5" x14ac:dyDescent="0.3">
      <c r="A85" s="3" t="s">
        <v>36</v>
      </c>
      <c r="B85" s="3" t="s">
        <v>17</v>
      </c>
      <c r="C85" s="4">
        <v>2011</v>
      </c>
      <c r="D85" s="4" t="s">
        <v>6</v>
      </c>
      <c r="E85" s="5">
        <v>0.08</v>
      </c>
    </row>
    <row r="86" spans="1:5" x14ac:dyDescent="0.3">
      <c r="A86" s="3" t="s">
        <v>36</v>
      </c>
      <c r="B86" s="3" t="s">
        <v>17</v>
      </c>
      <c r="C86" s="4">
        <v>2011</v>
      </c>
      <c r="D86" s="4" t="s">
        <v>7</v>
      </c>
      <c r="E86" s="5">
        <v>0.15</v>
      </c>
    </row>
    <row r="87" spans="1:5" x14ac:dyDescent="0.3">
      <c r="A87" s="3" t="s">
        <v>36</v>
      </c>
      <c r="B87" s="3" t="s">
        <v>17</v>
      </c>
      <c r="C87" s="4">
        <v>2011</v>
      </c>
      <c r="D87" s="4" t="s">
        <v>8</v>
      </c>
      <c r="E87" s="5">
        <v>0.28999999999999998</v>
      </c>
    </row>
    <row r="88" spans="1:5" x14ac:dyDescent="0.3">
      <c r="A88" s="3" t="s">
        <v>36</v>
      </c>
      <c r="B88" s="3" t="s">
        <v>17</v>
      </c>
      <c r="C88" s="4">
        <v>2011</v>
      </c>
      <c r="D88" s="4" t="s">
        <v>9</v>
      </c>
      <c r="E88" s="5">
        <v>0.62</v>
      </c>
    </row>
    <row r="89" spans="1:5" x14ac:dyDescent="0.3">
      <c r="A89" s="3" t="s">
        <v>37</v>
      </c>
      <c r="B89" s="3" t="s">
        <v>17</v>
      </c>
      <c r="C89" s="4">
        <v>2012</v>
      </c>
      <c r="D89" s="4" t="s">
        <v>5</v>
      </c>
      <c r="E89" s="5">
        <v>0.01</v>
      </c>
    </row>
    <row r="90" spans="1:5" x14ac:dyDescent="0.3">
      <c r="A90" s="3" t="s">
        <v>37</v>
      </c>
      <c r="B90" s="3" t="s">
        <v>17</v>
      </c>
      <c r="C90" s="4">
        <v>2012</v>
      </c>
      <c r="D90" s="4" t="s">
        <v>6</v>
      </c>
      <c r="E90" s="5">
        <v>0.01</v>
      </c>
    </row>
    <row r="91" spans="1:5" x14ac:dyDescent="0.3">
      <c r="A91" s="3" t="s">
        <v>37</v>
      </c>
      <c r="B91" s="3" t="s">
        <v>17</v>
      </c>
      <c r="C91" s="4">
        <v>2012</v>
      </c>
      <c r="D91" s="4" t="s">
        <v>7</v>
      </c>
      <c r="E91" s="5">
        <v>0.02</v>
      </c>
    </row>
    <row r="92" spans="1:5" x14ac:dyDescent="0.3">
      <c r="A92" s="3" t="s">
        <v>37</v>
      </c>
      <c r="B92" s="3" t="s">
        <v>17</v>
      </c>
      <c r="C92" s="4">
        <v>2012</v>
      </c>
      <c r="D92" s="4" t="s">
        <v>8</v>
      </c>
      <c r="E92" s="5">
        <v>0.1</v>
      </c>
    </row>
    <row r="93" spans="1:5" x14ac:dyDescent="0.3">
      <c r="A93" s="3" t="s">
        <v>37</v>
      </c>
      <c r="B93" s="3" t="s">
        <v>17</v>
      </c>
      <c r="C93" s="4">
        <v>2012</v>
      </c>
      <c r="D93" s="4" t="s">
        <v>9</v>
      </c>
      <c r="E93" s="5">
        <v>0.38</v>
      </c>
    </row>
    <row r="94" spans="1:5" x14ac:dyDescent="0.3">
      <c r="A94" s="3" t="s">
        <v>38</v>
      </c>
      <c r="B94" s="3" t="s">
        <v>17</v>
      </c>
      <c r="C94" s="4">
        <v>2010</v>
      </c>
      <c r="D94" s="4" t="s">
        <v>5</v>
      </c>
      <c r="E94" s="5">
        <v>0.02</v>
      </c>
    </row>
    <row r="95" spans="1:5" x14ac:dyDescent="0.3">
      <c r="A95" s="3" t="s">
        <v>38</v>
      </c>
      <c r="B95" s="3" t="s">
        <v>17</v>
      </c>
      <c r="C95" s="4">
        <v>2010</v>
      </c>
      <c r="D95" s="4" t="s">
        <v>6</v>
      </c>
      <c r="E95" s="5">
        <v>0.05</v>
      </c>
    </row>
    <row r="96" spans="1:5" x14ac:dyDescent="0.3">
      <c r="A96" s="3" t="s">
        <v>38</v>
      </c>
      <c r="B96" s="3" t="s">
        <v>17</v>
      </c>
      <c r="C96" s="4">
        <v>2010</v>
      </c>
      <c r="D96" s="4" t="s">
        <v>7</v>
      </c>
      <c r="E96" s="5">
        <v>0.12</v>
      </c>
    </row>
    <row r="97" spans="1:5" x14ac:dyDescent="0.3">
      <c r="A97" s="3" t="s">
        <v>38</v>
      </c>
      <c r="B97" s="3" t="s">
        <v>17</v>
      </c>
      <c r="C97" s="4">
        <v>2010</v>
      </c>
      <c r="D97" s="4" t="s">
        <v>8</v>
      </c>
      <c r="E97" s="5">
        <v>0.34</v>
      </c>
    </row>
    <row r="98" spans="1:5" x14ac:dyDescent="0.3">
      <c r="A98" s="3" t="s">
        <v>38</v>
      </c>
      <c r="B98" s="3" t="s">
        <v>17</v>
      </c>
      <c r="C98" s="4">
        <v>2010</v>
      </c>
      <c r="D98" s="4" t="s">
        <v>9</v>
      </c>
      <c r="E98" s="5">
        <v>0.75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workbookViewId="0">
      <pane ySplit="3" topLeftCell="A4" activePane="bottomLeft" state="frozen"/>
      <selection pane="bottomLeft" sqref="A1:F1"/>
    </sheetView>
  </sheetViews>
  <sheetFormatPr defaultColWidth="8.6640625" defaultRowHeight="14.4" x14ac:dyDescent="0.3"/>
  <cols>
    <col min="1" max="1" width="16" customWidth="1"/>
    <col min="2" max="2" width="20" customWidth="1"/>
    <col min="3" max="3" width="12" customWidth="1"/>
    <col min="4" max="4" width="20" customWidth="1"/>
    <col min="5" max="5" width="18" customWidth="1"/>
    <col min="6" max="6" width="22" customWidth="1"/>
  </cols>
  <sheetData>
    <row r="1" spans="1:6" ht="17.399999999999999" x14ac:dyDescent="0.3">
      <c r="A1" s="8" t="s">
        <v>42</v>
      </c>
      <c r="B1" s="8"/>
      <c r="C1" s="8"/>
      <c r="D1" s="8"/>
      <c r="E1" s="8"/>
      <c r="F1" s="8"/>
    </row>
    <row r="3" spans="1:6" x14ac:dyDescent="0.3">
      <c r="A3" s="1" t="s">
        <v>2</v>
      </c>
      <c r="B3" s="1" t="s">
        <v>3</v>
      </c>
      <c r="C3" s="1" t="s">
        <v>4</v>
      </c>
      <c r="D3" s="1" t="s">
        <v>11</v>
      </c>
      <c r="E3" s="1" t="s">
        <v>12</v>
      </c>
      <c r="F3" s="1" t="s">
        <v>43</v>
      </c>
    </row>
    <row r="4" spans="1:6" x14ac:dyDescent="0.3">
      <c r="A4" s="2" t="s">
        <v>14</v>
      </c>
      <c r="B4" s="3" t="s">
        <v>15</v>
      </c>
      <c r="C4" s="4">
        <v>2010</v>
      </c>
      <c r="D4" s="5">
        <v>0.52</v>
      </c>
      <c r="E4" s="5">
        <v>0.56999999999999995</v>
      </c>
      <c r="F4" s="4">
        <f t="shared" ref="F4:F15" si="0">ROUND((E4-D4)*100,1)</f>
        <v>5</v>
      </c>
    </row>
    <row r="5" spans="1:6" x14ac:dyDescent="0.3">
      <c r="A5" s="2" t="s">
        <v>16</v>
      </c>
      <c r="B5" s="3" t="s">
        <v>17</v>
      </c>
      <c r="C5" s="4">
        <v>2009</v>
      </c>
      <c r="D5" s="5">
        <v>0.12</v>
      </c>
      <c r="E5" s="5">
        <v>0.12</v>
      </c>
      <c r="F5" s="4">
        <f t="shared" si="0"/>
        <v>0</v>
      </c>
    </row>
    <row r="6" spans="1:6" x14ac:dyDescent="0.3">
      <c r="A6" s="2" t="s">
        <v>18</v>
      </c>
      <c r="B6" s="3" t="s">
        <v>17</v>
      </c>
      <c r="C6" s="4">
        <v>2011</v>
      </c>
      <c r="D6" s="5">
        <v>0.06</v>
      </c>
      <c r="E6" s="5">
        <v>0.09</v>
      </c>
      <c r="F6" s="4">
        <f t="shared" si="0"/>
        <v>3</v>
      </c>
    </row>
    <row r="7" spans="1:6" x14ac:dyDescent="0.3">
      <c r="A7" s="2" t="s">
        <v>19</v>
      </c>
      <c r="B7" s="3" t="s">
        <v>17</v>
      </c>
      <c r="C7" s="4">
        <v>2012</v>
      </c>
      <c r="D7" s="5">
        <v>0.09</v>
      </c>
      <c r="E7" s="5">
        <v>0.11</v>
      </c>
      <c r="F7" s="4">
        <f t="shared" si="0"/>
        <v>2</v>
      </c>
    </row>
    <row r="8" spans="1:6" x14ac:dyDescent="0.3">
      <c r="A8" s="2" t="s">
        <v>20</v>
      </c>
      <c r="B8" s="3" t="s">
        <v>17</v>
      </c>
      <c r="C8" s="4">
        <v>2010</v>
      </c>
      <c r="D8" s="5">
        <v>0.6</v>
      </c>
      <c r="E8" s="5">
        <v>0.54</v>
      </c>
      <c r="F8" s="4">
        <f t="shared" si="0"/>
        <v>-6</v>
      </c>
    </row>
    <row r="9" spans="1:6" x14ac:dyDescent="0.3">
      <c r="A9" s="2" t="s">
        <v>21</v>
      </c>
      <c r="B9" s="3" t="s">
        <v>15</v>
      </c>
      <c r="C9" s="4">
        <v>2011</v>
      </c>
      <c r="D9" s="5">
        <v>0.85</v>
      </c>
      <c r="E9" s="5">
        <v>0.86</v>
      </c>
      <c r="F9" s="4">
        <f t="shared" si="0"/>
        <v>1</v>
      </c>
    </row>
    <row r="10" spans="1:6" x14ac:dyDescent="0.3">
      <c r="A10" s="2" t="s">
        <v>22</v>
      </c>
      <c r="B10" s="3" t="s">
        <v>17</v>
      </c>
      <c r="C10" s="4">
        <v>2005</v>
      </c>
      <c r="D10" s="5">
        <v>0.1</v>
      </c>
      <c r="E10" s="5">
        <v>0.13</v>
      </c>
      <c r="F10" s="4">
        <f t="shared" si="0"/>
        <v>3</v>
      </c>
    </row>
    <row r="11" spans="1:6" x14ac:dyDescent="0.3">
      <c r="A11" s="2" t="s">
        <v>23</v>
      </c>
      <c r="B11" s="3" t="s">
        <v>17</v>
      </c>
      <c r="C11" s="4">
        <v>2010</v>
      </c>
      <c r="D11" s="5">
        <v>0.17</v>
      </c>
      <c r="E11" s="5">
        <v>0.17</v>
      </c>
      <c r="F11" s="4">
        <f t="shared" si="0"/>
        <v>0</v>
      </c>
    </row>
    <row r="12" spans="1:6" x14ac:dyDescent="0.3">
      <c r="A12" s="2" t="s">
        <v>24</v>
      </c>
      <c r="B12" s="3" t="s">
        <v>17</v>
      </c>
      <c r="C12" s="4">
        <v>2010</v>
      </c>
      <c r="D12" s="5">
        <v>0.06</v>
      </c>
      <c r="E12" s="5">
        <v>7.0000000000000007E-2</v>
      </c>
      <c r="F12" s="4">
        <f t="shared" si="0"/>
        <v>1</v>
      </c>
    </row>
    <row r="13" spans="1:6" x14ac:dyDescent="0.3">
      <c r="A13" s="2" t="s">
        <v>25</v>
      </c>
      <c r="B13" s="3" t="s">
        <v>17</v>
      </c>
      <c r="C13" s="4">
        <v>2010</v>
      </c>
      <c r="D13" s="5">
        <v>0.2</v>
      </c>
      <c r="E13" s="5">
        <v>0.18</v>
      </c>
      <c r="F13" s="4">
        <f t="shared" si="0"/>
        <v>-2</v>
      </c>
    </row>
    <row r="14" spans="1:6" x14ac:dyDescent="0.3">
      <c r="A14" s="2" t="s">
        <v>26</v>
      </c>
      <c r="B14" s="3" t="s">
        <v>17</v>
      </c>
      <c r="C14" s="4">
        <v>2008</v>
      </c>
      <c r="D14" s="5">
        <v>0.17</v>
      </c>
      <c r="E14" s="5">
        <v>0.18</v>
      </c>
      <c r="F14" s="4">
        <f t="shared" si="0"/>
        <v>1</v>
      </c>
    </row>
    <row r="15" spans="1:6" x14ac:dyDescent="0.3">
      <c r="A15" s="2" t="s">
        <v>27</v>
      </c>
      <c r="B15" s="3" t="s">
        <v>28</v>
      </c>
      <c r="C15" s="4">
        <v>2015</v>
      </c>
      <c r="D15" s="5">
        <v>0.78</v>
      </c>
      <c r="E15" s="5">
        <v>0.79</v>
      </c>
      <c r="F15" s="4">
        <f t="shared" si="0"/>
        <v>1</v>
      </c>
    </row>
    <row r="16" spans="1:6" x14ac:dyDescent="0.3">
      <c r="A16" s="2" t="s">
        <v>29</v>
      </c>
      <c r="B16" s="3" t="s">
        <v>17</v>
      </c>
      <c r="C16" s="4" t="s">
        <v>30</v>
      </c>
      <c r="D16" s="6" t="s">
        <v>31</v>
      </c>
      <c r="E16" s="6" t="s">
        <v>31</v>
      </c>
      <c r="F16" s="6" t="s">
        <v>31</v>
      </c>
    </row>
    <row r="17" spans="1:6" x14ac:dyDescent="0.3">
      <c r="A17" s="2" t="s">
        <v>32</v>
      </c>
      <c r="B17" s="3" t="s">
        <v>17</v>
      </c>
      <c r="C17" s="4">
        <v>2009</v>
      </c>
      <c r="D17" s="5">
        <v>0.31</v>
      </c>
      <c r="E17" s="5">
        <v>0.25</v>
      </c>
      <c r="F17" s="4">
        <f t="shared" ref="F17:F23" si="1">ROUND((E17-D17)*100,1)</f>
        <v>-6</v>
      </c>
    </row>
    <row r="18" spans="1:6" x14ac:dyDescent="0.3">
      <c r="A18" s="2" t="s">
        <v>33</v>
      </c>
      <c r="B18" s="3" t="s">
        <v>15</v>
      </c>
      <c r="C18" s="4">
        <v>2013</v>
      </c>
      <c r="D18" s="5">
        <v>0.91</v>
      </c>
      <c r="E18" s="5">
        <v>0.89</v>
      </c>
      <c r="F18" s="4">
        <f t="shared" si="1"/>
        <v>-2</v>
      </c>
    </row>
    <row r="19" spans="1:6" x14ac:dyDescent="0.3">
      <c r="A19" s="2" t="s">
        <v>34</v>
      </c>
      <c r="B19" s="3" t="s">
        <v>28</v>
      </c>
      <c r="C19" s="4">
        <v>2015</v>
      </c>
      <c r="D19" s="5">
        <v>0.89</v>
      </c>
      <c r="E19" s="5">
        <v>0.88</v>
      </c>
      <c r="F19" s="4">
        <f t="shared" si="1"/>
        <v>-1</v>
      </c>
    </row>
    <row r="20" spans="1:6" x14ac:dyDescent="0.3">
      <c r="A20" s="2" t="s">
        <v>35</v>
      </c>
      <c r="B20" s="3" t="s">
        <v>17</v>
      </c>
      <c r="C20" s="4">
        <v>2009</v>
      </c>
      <c r="D20" s="5">
        <v>0.26</v>
      </c>
      <c r="E20" s="5">
        <v>0.38</v>
      </c>
      <c r="F20" s="4">
        <f t="shared" si="1"/>
        <v>12</v>
      </c>
    </row>
    <row r="21" spans="1:6" x14ac:dyDescent="0.3">
      <c r="A21" s="2" t="s">
        <v>36</v>
      </c>
      <c r="B21" s="3" t="s">
        <v>17</v>
      </c>
      <c r="C21" s="4">
        <v>2011</v>
      </c>
      <c r="D21" s="5">
        <v>0.22</v>
      </c>
      <c r="E21" s="5">
        <v>0.24</v>
      </c>
      <c r="F21" s="4">
        <f t="shared" si="1"/>
        <v>2</v>
      </c>
    </row>
    <row r="22" spans="1:6" x14ac:dyDescent="0.3">
      <c r="A22" s="2" t="s">
        <v>37</v>
      </c>
      <c r="B22" s="3" t="s">
        <v>17</v>
      </c>
      <c r="C22" s="4">
        <v>2012</v>
      </c>
      <c r="D22" s="5">
        <v>0.11</v>
      </c>
      <c r="E22" s="5">
        <v>0.1</v>
      </c>
      <c r="F22" s="4">
        <f t="shared" si="1"/>
        <v>-1</v>
      </c>
    </row>
    <row r="23" spans="1:6" x14ac:dyDescent="0.3">
      <c r="A23" s="2" t="s">
        <v>38</v>
      </c>
      <c r="B23" s="3" t="s">
        <v>17</v>
      </c>
      <c r="C23" s="4">
        <v>2010</v>
      </c>
      <c r="D23" s="5">
        <v>0.21</v>
      </c>
      <c r="E23" s="5">
        <v>0.27</v>
      </c>
      <c r="F23" s="4">
        <f t="shared" si="1"/>
        <v>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Quintiles by Country</vt:lpstr>
      <vt:lpstr>Tidy (long format)</vt:lpstr>
      <vt:lpstr>Gender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Shalom Mulinge</cp:lastModifiedBy>
  <cp:revision>0</cp:revision>
  <dcterms:created xsi:type="dcterms:W3CDTF">2026-07-28T23:13:24Z</dcterms:created>
  <dcterms:modified xsi:type="dcterms:W3CDTF">2026-10-08T18:07:05Z</dcterms:modified>
  <dc:language>en-US</dc:language>
</cp:coreProperties>
</file>