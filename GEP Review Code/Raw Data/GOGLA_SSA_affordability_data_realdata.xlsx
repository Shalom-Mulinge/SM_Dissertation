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Oxford\Dissertation\Data\Modelling\"/>
    </mc:Choice>
  </mc:AlternateContent>
  <xr:revisionPtr revIDLastSave="0" documentId="13_ncr:1_{151B20B7-D29D-4371-837F-81BC401D427F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SSA Quintile Data (5pct)" sheetId="1" r:id="rId1"/>
    <sheet name="SSA Quintile Data (10pct)" sheetId="2" r:id="rId2"/>
    <sheet name="SSA Total Unelectrified" sheetId="3" r:id="rId3"/>
    <sheet name="Comparis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" i="4" l="1"/>
  <c r="D44" i="4"/>
  <c r="G44" i="4" s="1"/>
  <c r="K44" i="4" s="1"/>
  <c r="C44" i="4"/>
  <c r="F44" i="4" s="1"/>
  <c r="B44" i="4"/>
  <c r="E44" i="4" s="1"/>
  <c r="D43" i="4"/>
  <c r="G43" i="4" s="1"/>
  <c r="K43" i="4" s="1"/>
  <c r="C43" i="4"/>
  <c r="F43" i="4" s="1"/>
  <c r="B43" i="4"/>
  <c r="E43" i="4" s="1"/>
  <c r="D42" i="4"/>
  <c r="G42" i="4" s="1"/>
  <c r="K42" i="4" s="1"/>
  <c r="C42" i="4"/>
  <c r="F42" i="4" s="1"/>
  <c r="B42" i="4"/>
  <c r="E42" i="4" s="1"/>
  <c r="D41" i="4"/>
  <c r="G41" i="4" s="1"/>
  <c r="K41" i="4" s="1"/>
  <c r="C41" i="4"/>
  <c r="F41" i="4" s="1"/>
  <c r="B41" i="4"/>
  <c r="E41" i="4" s="1"/>
  <c r="D40" i="4"/>
  <c r="G40" i="4" s="1"/>
  <c r="K40" i="4" s="1"/>
  <c r="C40" i="4"/>
  <c r="F40" i="4" s="1"/>
  <c r="B40" i="4"/>
  <c r="E40" i="4" s="1"/>
  <c r="D39" i="4"/>
  <c r="G39" i="4" s="1"/>
  <c r="K39" i="4" s="1"/>
  <c r="C39" i="4"/>
  <c r="F39" i="4" s="1"/>
  <c r="B39" i="4"/>
  <c r="E39" i="4" s="1"/>
  <c r="D38" i="4"/>
  <c r="G38" i="4" s="1"/>
  <c r="K38" i="4" s="1"/>
  <c r="C38" i="4"/>
  <c r="F38" i="4" s="1"/>
  <c r="B38" i="4"/>
  <c r="E38" i="4" s="1"/>
  <c r="D37" i="4"/>
  <c r="G37" i="4" s="1"/>
  <c r="K37" i="4" s="1"/>
  <c r="C37" i="4"/>
  <c r="F37" i="4" s="1"/>
  <c r="B37" i="4"/>
  <c r="E37" i="4" s="1"/>
  <c r="G36" i="4"/>
  <c r="K36" i="4" s="1"/>
  <c r="D36" i="4"/>
  <c r="C36" i="4"/>
  <c r="F36" i="4" s="1"/>
  <c r="B36" i="4"/>
  <c r="E36" i="4" s="1"/>
  <c r="G35" i="4"/>
  <c r="K35" i="4" s="1"/>
  <c r="F35" i="4"/>
  <c r="D35" i="4"/>
  <c r="C35" i="4"/>
  <c r="B35" i="4"/>
  <c r="E35" i="4" s="1"/>
  <c r="G34" i="4"/>
  <c r="K34" i="4" s="1"/>
  <c r="F34" i="4"/>
  <c r="E34" i="4"/>
  <c r="D34" i="4"/>
  <c r="C34" i="4"/>
  <c r="B34" i="4"/>
  <c r="E33" i="4"/>
  <c r="D33" i="4"/>
  <c r="F33" i="4" s="1"/>
  <c r="C33" i="4"/>
  <c r="B33" i="4"/>
  <c r="D32" i="4"/>
  <c r="G32" i="4" s="1"/>
  <c r="K32" i="4" s="1"/>
  <c r="C32" i="4"/>
  <c r="E32" i="4" s="1"/>
  <c r="B32" i="4"/>
  <c r="D31" i="4"/>
  <c r="G31" i="4" s="1"/>
  <c r="K31" i="4" s="1"/>
  <c r="C31" i="4"/>
  <c r="F31" i="4" s="1"/>
  <c r="B31" i="4"/>
  <c r="E31" i="4" s="1"/>
  <c r="D30" i="4"/>
  <c r="G30" i="4" s="1"/>
  <c r="K30" i="4" s="1"/>
  <c r="C30" i="4"/>
  <c r="F30" i="4" s="1"/>
  <c r="B30" i="4"/>
  <c r="E30" i="4" s="1"/>
  <c r="D29" i="4"/>
  <c r="G29" i="4" s="1"/>
  <c r="K29" i="4" s="1"/>
  <c r="C29" i="4"/>
  <c r="F29" i="4" s="1"/>
  <c r="B29" i="4"/>
  <c r="E29" i="4" s="1"/>
  <c r="D28" i="4"/>
  <c r="C28" i="4"/>
  <c r="F28" i="4" s="1"/>
  <c r="B28" i="4"/>
  <c r="G28" i="4" s="1"/>
  <c r="K28" i="4" s="1"/>
  <c r="G27" i="4"/>
  <c r="K27" i="4" s="1"/>
  <c r="F27" i="4"/>
  <c r="D27" i="4"/>
  <c r="C27" i="4"/>
  <c r="B27" i="4"/>
  <c r="E27" i="4" s="1"/>
  <c r="G26" i="4"/>
  <c r="K26" i="4" s="1"/>
  <c r="F26" i="4"/>
  <c r="E26" i="4"/>
  <c r="D26" i="4"/>
  <c r="C26" i="4"/>
  <c r="B26" i="4"/>
  <c r="E25" i="4"/>
  <c r="D25" i="4"/>
  <c r="G25" i="4" s="1"/>
  <c r="K25" i="4" s="1"/>
  <c r="C25" i="4"/>
  <c r="B25" i="4"/>
  <c r="D24" i="4"/>
  <c r="G24" i="4" s="1"/>
  <c r="K24" i="4" s="1"/>
  <c r="C24" i="4"/>
  <c r="F24" i="4" s="1"/>
  <c r="B24" i="4"/>
  <c r="D23" i="4"/>
  <c r="G23" i="4" s="1"/>
  <c r="K23" i="4" s="1"/>
  <c r="C23" i="4"/>
  <c r="F23" i="4" s="1"/>
  <c r="B23" i="4"/>
  <c r="E23" i="4" s="1"/>
  <c r="D22" i="4"/>
  <c r="G22" i="4" s="1"/>
  <c r="K22" i="4" s="1"/>
  <c r="C22" i="4"/>
  <c r="F22" i="4" s="1"/>
  <c r="B22" i="4"/>
  <c r="E22" i="4" s="1"/>
  <c r="D21" i="4"/>
  <c r="G21" i="4" s="1"/>
  <c r="K21" i="4" s="1"/>
  <c r="C21" i="4"/>
  <c r="F21" i="4" s="1"/>
  <c r="B21" i="4"/>
  <c r="E21" i="4" s="1"/>
  <c r="G20" i="4"/>
  <c r="K20" i="4" s="1"/>
  <c r="D20" i="4"/>
  <c r="C20" i="4"/>
  <c r="F20" i="4" s="1"/>
  <c r="B20" i="4"/>
  <c r="E20" i="4" s="1"/>
  <c r="G19" i="4"/>
  <c r="K19" i="4" s="1"/>
  <c r="F19" i="4"/>
  <c r="D19" i="4"/>
  <c r="C19" i="4"/>
  <c r="B19" i="4"/>
  <c r="E19" i="4" s="1"/>
  <c r="G18" i="4"/>
  <c r="K18" i="4" s="1"/>
  <c r="F18" i="4"/>
  <c r="E18" i="4"/>
  <c r="D18" i="4"/>
  <c r="C18" i="4"/>
  <c r="B18" i="4"/>
  <c r="E17" i="4"/>
  <c r="D17" i="4"/>
  <c r="G17" i="4" s="1"/>
  <c r="K17" i="4" s="1"/>
  <c r="C17" i="4"/>
  <c r="B17" i="4"/>
  <c r="D16" i="4"/>
  <c r="G16" i="4" s="1"/>
  <c r="K16" i="4" s="1"/>
  <c r="C16" i="4"/>
  <c r="F16" i="4" s="1"/>
  <c r="B16" i="4"/>
  <c r="D15" i="4"/>
  <c r="G15" i="4" s="1"/>
  <c r="K15" i="4" s="1"/>
  <c r="C15" i="4"/>
  <c r="F15" i="4" s="1"/>
  <c r="B15" i="4"/>
  <c r="E15" i="4" s="1"/>
  <c r="D14" i="4"/>
  <c r="G14" i="4" s="1"/>
  <c r="K14" i="4" s="1"/>
  <c r="C14" i="4"/>
  <c r="F14" i="4" s="1"/>
  <c r="B14" i="4"/>
  <c r="E14" i="4" s="1"/>
  <c r="D13" i="4"/>
  <c r="G13" i="4" s="1"/>
  <c r="K13" i="4" s="1"/>
  <c r="C13" i="4"/>
  <c r="F13" i="4" s="1"/>
  <c r="B13" i="4"/>
  <c r="E13" i="4" s="1"/>
  <c r="G12" i="4"/>
  <c r="K12" i="4" s="1"/>
  <c r="D12" i="4"/>
  <c r="C12" i="4"/>
  <c r="F12" i="4" s="1"/>
  <c r="B12" i="4"/>
  <c r="E12" i="4" s="1"/>
  <c r="G11" i="4"/>
  <c r="K11" i="4" s="1"/>
  <c r="F11" i="4"/>
  <c r="D11" i="4"/>
  <c r="C11" i="4"/>
  <c r="B11" i="4"/>
  <c r="E11" i="4" s="1"/>
  <c r="G10" i="4"/>
  <c r="K10" i="4" s="1"/>
  <c r="F10" i="4"/>
  <c r="E10" i="4"/>
  <c r="D10" i="4"/>
  <c r="C10" i="4"/>
  <c r="B10" i="4"/>
  <c r="E9" i="4"/>
  <c r="D9" i="4"/>
  <c r="G9" i="4" s="1"/>
  <c r="K9" i="4" s="1"/>
  <c r="C9" i="4"/>
  <c r="B9" i="4"/>
  <c r="D8" i="4"/>
  <c r="G8" i="4" s="1"/>
  <c r="K8" i="4" s="1"/>
  <c r="C8" i="4"/>
  <c r="F8" i="4" s="1"/>
  <c r="B8" i="4"/>
  <c r="D7" i="4"/>
  <c r="G7" i="4" s="1"/>
  <c r="K7" i="4" s="1"/>
  <c r="C7" i="4"/>
  <c r="F7" i="4" s="1"/>
  <c r="B7" i="4"/>
  <c r="E7" i="4" s="1"/>
  <c r="D6" i="4"/>
  <c r="G6" i="4" s="1"/>
  <c r="K6" i="4" s="1"/>
  <c r="C6" i="4"/>
  <c r="F6" i="4" s="1"/>
  <c r="B6" i="4"/>
  <c r="E6" i="4" s="1"/>
  <c r="D5" i="4"/>
  <c r="G5" i="4" s="1"/>
  <c r="K5" i="4" s="1"/>
  <c r="C5" i="4"/>
  <c r="F5" i="4" s="1"/>
  <c r="B5" i="4"/>
  <c r="E5" i="4" s="1"/>
  <c r="G4" i="4"/>
  <c r="K4" i="4" s="1"/>
  <c r="D4" i="4"/>
  <c r="C4" i="4"/>
  <c r="F4" i="4" s="1"/>
  <c r="B4" i="4"/>
  <c r="E4" i="4" s="1"/>
  <c r="G3" i="4"/>
  <c r="K3" i="4" s="1"/>
  <c r="F3" i="4"/>
  <c r="D3" i="4"/>
  <c r="C3" i="4"/>
  <c r="B3" i="4"/>
  <c r="E3" i="4" s="1"/>
  <c r="G2" i="4"/>
  <c r="F2" i="4"/>
  <c r="E2" i="4"/>
  <c r="D2" i="4"/>
  <c r="D46" i="4" s="1"/>
  <c r="G46" i="4" s="1"/>
  <c r="C2" i="4"/>
  <c r="C46" i="4" s="1"/>
  <c r="B2" i="4"/>
  <c r="B46" i="4" s="1"/>
  <c r="E46" i="4" s="1"/>
  <c r="F46" i="4" l="1"/>
  <c r="F32" i="4"/>
  <c r="G33" i="4"/>
  <c r="K33" i="4" s="1"/>
  <c r="E28" i="4"/>
  <c r="E8" i="4"/>
  <c r="F9" i="4"/>
  <c r="E16" i="4"/>
  <c r="F17" i="4"/>
  <c r="E24" i="4"/>
  <c r="F25" i="4"/>
</calcChain>
</file>

<file path=xl/sharedStrings.xml><?xml version="1.0" encoding="utf-8"?>
<sst xmlns="http://schemas.openxmlformats.org/spreadsheetml/2006/main" count="340" uniqueCount="181">
  <si>
    <t>Economy</t>
  </si>
  <si>
    <t>Year</t>
  </si>
  <si>
    <t>Q1 ($/day, 2021 PPP)</t>
  </si>
  <si>
    <t>Q2</t>
  </si>
  <si>
    <t>Q3</t>
  </si>
  <si>
    <t>Q4</t>
  </si>
  <si>
    <t>Q5</t>
  </si>
  <si>
    <t>Cannot Afford at 5% (raw)</t>
  </si>
  <si>
    <t>Cannot Afford at 5% (numeric)</t>
  </si>
  <si>
    <t>Mozambique</t>
  </si>
  <si>
    <t>17.7M</t>
  </si>
  <si>
    <t>Niger</t>
  </si>
  <si>
    <t>17.1M</t>
  </si>
  <si>
    <t>Madagascar</t>
  </si>
  <si>
    <t>18.3M</t>
  </si>
  <si>
    <t>Burkina Faso</t>
  </si>
  <si>
    <t>14.5M</t>
  </si>
  <si>
    <t>Democratic Republic of the Congo</t>
  </si>
  <si>
    <t>72.9M</t>
  </si>
  <si>
    <t>Ethiopia</t>
  </si>
  <si>
    <t>44.5M</t>
  </si>
  <si>
    <t>Kenya</t>
  </si>
  <si>
    <t>11.9M</t>
  </si>
  <si>
    <t>Burundi</t>
  </si>
  <si>
    <t>11.4M</t>
  </si>
  <si>
    <t>Zambia</t>
  </si>
  <si>
    <t>9.6M</t>
  </si>
  <si>
    <t>South Sudan</t>
  </si>
  <si>
    <t>9.5M</t>
  </si>
  <si>
    <t>Cameroon</t>
  </si>
  <si>
    <t>4.5M</t>
  </si>
  <si>
    <t>Zimbabwe</t>
  </si>
  <si>
    <t>7.2M</t>
  </si>
  <si>
    <t>Côte d'Ivoire</t>
  </si>
  <si>
    <t>5.6M</t>
  </si>
  <si>
    <t>Chad</t>
  </si>
  <si>
    <t>10.6M</t>
  </si>
  <si>
    <t>Sierra Leone</t>
  </si>
  <si>
    <t>4.8M</t>
  </si>
  <si>
    <t>Senegal</t>
  </si>
  <si>
    <t>4.1M</t>
  </si>
  <si>
    <t>Ghana</t>
  </si>
  <si>
    <t>3.9M</t>
  </si>
  <si>
    <t>Togo</t>
  </si>
  <si>
    <t>3.5M</t>
  </si>
  <si>
    <t>Liberia</t>
  </si>
  <si>
    <t>2.8M</t>
  </si>
  <si>
    <t>Mauritania</t>
  </si>
  <si>
    <t>1.3M</t>
  </si>
  <si>
    <t>Benin</t>
  </si>
  <si>
    <t>4M</t>
  </si>
  <si>
    <t>Rwanda</t>
  </si>
  <si>
    <t>6.3M</t>
  </si>
  <si>
    <t>South Africa</t>
  </si>
  <si>
    <t>2.3M</t>
  </si>
  <si>
    <t>Botswana</t>
  </si>
  <si>
    <t>379.5K</t>
  </si>
  <si>
    <t>Djibouti</t>
  </si>
  <si>
    <t>303.6K</t>
  </si>
  <si>
    <t>Gabon</t>
  </si>
  <si>
    <t>47.2K</t>
  </si>
  <si>
    <t>Comoros</t>
  </si>
  <si>
    <t>69K</t>
  </si>
  <si>
    <t>Sao Tome and Principe</t>
  </si>
  <si>
    <t>24.5K</t>
  </si>
  <si>
    <t>Namibia</t>
  </si>
  <si>
    <t>507.7K</t>
  </si>
  <si>
    <t>The Gambia</t>
  </si>
  <si>
    <t>704.3K</t>
  </si>
  <si>
    <t>Lesotho</t>
  </si>
  <si>
    <t>936.3K</t>
  </si>
  <si>
    <t>Nigeria</t>
  </si>
  <si>
    <t>74.8M</t>
  </si>
  <si>
    <t>Tanzania</t>
  </si>
  <si>
    <t>27.5M</t>
  </si>
  <si>
    <t>Guinea</t>
  </si>
  <si>
    <t>6.1M</t>
  </si>
  <si>
    <t>Sudan</t>
  </si>
  <si>
    <t>13.8M</t>
  </si>
  <si>
    <t>Central African Republic</t>
  </si>
  <si>
    <t>Uganda</t>
  </si>
  <si>
    <t>22.1M</t>
  </si>
  <si>
    <t>Malawi</t>
  </si>
  <si>
    <t>Republic of Congo</t>
  </si>
  <si>
    <t>2.1M</t>
  </si>
  <si>
    <t>Guinea-Bissau</t>
  </si>
  <si>
    <t>1M</t>
  </si>
  <si>
    <t>Angola</t>
  </si>
  <si>
    <t>12.5M</t>
  </si>
  <si>
    <t>Mali</t>
  </si>
  <si>
    <t>8.8M</t>
  </si>
  <si>
    <t>Eswatini</t>
  </si>
  <si>
    <t>177.6K</t>
  </si>
  <si>
    <t>Source: GOGLA/ESMAP MTR 2024 Data Explorer (mtr.esmap.org/data-explorer), affordability table at 5% energy-expenditure threshold. Quintile values = mean ability-to-pay per quintile (income x 5%), 2021 PPP USD/day. Cannot Afford = households needing &gt;5% of income for Tier 1 PAYGo.</t>
  </si>
  <si>
    <t>Cannot Afford at 10% (raw)</t>
  </si>
  <si>
    <t>Cannot Afford at 10% (numeric)</t>
  </si>
  <si>
    <t>11.8M</t>
  </si>
  <si>
    <t>13.7M</t>
  </si>
  <si>
    <t>6.5M</t>
  </si>
  <si>
    <t>58.2M</t>
  </si>
  <si>
    <t>22.7M</t>
  </si>
  <si>
    <t>8.5M</t>
  </si>
  <si>
    <t>7.6M</t>
  </si>
  <si>
    <t>6.9M</t>
  </si>
  <si>
    <t>2.6M</t>
  </si>
  <si>
    <t>6M</t>
  </si>
  <si>
    <t>4.2M</t>
  </si>
  <si>
    <t>2.2M</t>
  </si>
  <si>
    <t>1.7M</t>
  </si>
  <si>
    <t>3.2M</t>
  </si>
  <si>
    <t>412.5K</t>
  </si>
  <si>
    <t>2M</t>
  </si>
  <si>
    <t>789.3K</t>
  </si>
  <si>
    <t>127K</t>
  </si>
  <si>
    <t>194.2K</t>
  </si>
  <si>
    <t>0</t>
  </si>
  <si>
    <t>29.3K</t>
  </si>
  <si>
    <t>11.6K</t>
  </si>
  <si>
    <t>256.9K</t>
  </si>
  <si>
    <t>308.5K</t>
  </si>
  <si>
    <t>491K</t>
  </si>
  <si>
    <t>44.7M</t>
  </si>
  <si>
    <t>20.1M</t>
  </si>
  <si>
    <t>1.6M</t>
  </si>
  <si>
    <t>13.2M</t>
  </si>
  <si>
    <t>661K</t>
  </si>
  <si>
    <t>428.2K</t>
  </si>
  <si>
    <t>7.4M</t>
  </si>
  <si>
    <t>1.9M</t>
  </si>
  <si>
    <t>93.8K</t>
  </si>
  <si>
    <t>Source: GOGLA/ESMAP MTR 2024 Data Explorer (mtr.esmap.org/data-explorer), affordability table at 10% energy-expenditure (stretch) threshold. Quintile values = ability-to-pay per quintile (income x 10%) — exactly 2x the 5% sheet's values, confirming both are ATP, not raw income. Cannot Afford = households needing &gt;10% of income even at the stretch threshold (i.e., truly cannot afford).</t>
  </si>
  <si>
    <t>Total Unelectrified (raw)</t>
  </si>
  <si>
    <t>Total Unelectrified (numeric)</t>
  </si>
  <si>
    <t>Share of Population Unelectrified (%)</t>
  </si>
  <si>
    <t>22M</t>
  </si>
  <si>
    <t>21.1M</t>
  </si>
  <si>
    <t>18.9M</t>
  </si>
  <si>
    <t>18.4M</t>
  </si>
  <si>
    <t>77.7M</t>
  </si>
  <si>
    <t>55M</t>
  </si>
  <si>
    <t>13M</t>
  </si>
  <si>
    <t>11.6M</t>
  </si>
  <si>
    <t>10.4M</t>
  </si>
  <si>
    <t>10M</t>
  </si>
  <si>
    <t>8.1M</t>
  </si>
  <si>
    <t>8.3M</t>
  </si>
  <si>
    <t>15.6M</t>
  </si>
  <si>
    <t>5M</t>
  </si>
  <si>
    <t>3.8M</t>
  </si>
  <si>
    <t>3.6M</t>
  </si>
  <si>
    <t>2.4M</t>
  </si>
  <si>
    <t>5.8M</t>
  </si>
  <si>
    <t>6.8M</t>
  </si>
  <si>
    <t>632.9K</t>
  </si>
  <si>
    <t>389.8K</t>
  </si>
  <si>
    <t>155.4K</t>
  </si>
  <si>
    <t>84.4K</t>
  </si>
  <si>
    <t>49.1K</t>
  </si>
  <si>
    <t>1.1M</t>
  </si>
  <si>
    <t>937.4K</t>
  </si>
  <si>
    <t>86.3M</t>
  </si>
  <si>
    <t>35.5M</t>
  </si>
  <si>
    <t>17.2M</t>
  </si>
  <si>
    <t>4.7M</t>
  </si>
  <si>
    <t>25M</t>
  </si>
  <si>
    <t>17.6M</t>
  </si>
  <si>
    <t>3M</t>
  </si>
  <si>
    <t>213K</t>
  </si>
  <si>
    <t>Source: GOGLA/ESMAP MTR 2024 Data Explorer — 'Total number of people lacking electricity access by region, 2005-2022' view.</t>
  </si>
  <si>
    <t>Total Unelectrified
(Sheet3)</t>
  </si>
  <si>
    <t>Cannot Afford @5%
(Sheet1)</t>
  </si>
  <si>
    <t>Cannot Afford @10%
(Sheet2)</t>
  </si>
  <si>
    <t>GOGLA: Affordable %</t>
  </si>
  <si>
    <t>GOGLA: Stretch %</t>
  </si>
  <si>
    <t>GOGLA: Cannot %</t>
  </si>
  <si>
    <t>Your Model: Affordable %</t>
  </si>
  <si>
    <t>Your Model: Stretch %</t>
  </si>
  <si>
    <t>Your Model: Cannot %</t>
  </si>
  <si>
    <t>Diff Cannot % (Model−GOGLA, pp)</t>
  </si>
  <si>
    <t>SSA AGGREGATE</t>
  </si>
  <si>
    <t>Fill in columns H/I/J ('Your Model') with your model's affordable/stretch/cannot %% per country to auto-compute the diff in column K. IMPORTANT: GOGLA 'Cannot %%' here = needs &gt;10%% of income even at stretch threshold (true cannot-afford), matching your model's ENERGY_HIGH=0.10 definition. Do not compare against the 5%% threshold column directly — they measure different things (needs &gt;5%% vs needs &gt;10%%).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</si>
</sst>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0.0;\-0.0"/>
  </numFmts>
  <fonts count="4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i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164" fontId="2" fillId="3" borderId="0" xfId="0" applyNumberFormat="1" applyFont="1" applyFill="1"/>
    <xf numFmtId="165" fontId="2" fillId="0" borderId="0" xfId="0" applyNumberFormat="1" applyFont="1"/>
    <xf numFmtId="0" fontId="2" fillId="4" borderId="0" xfId="0" applyFont="1" applyFill="1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0" fontId="2" fillId="5" borderId="0" xfId="0" applyFont="1" applyFill="1"/>
    <xf numFmtId="3" fontId="2" fillId="5" borderId="0" xfId="0" applyNumberFormat="1" applyFont="1" applyFill="1"/>
    <xf numFmtId="164" fontId="2" fillId="5" borderId="0" xfId="0" applyNumberFormat="1" applyFont="1" applyFill="1"/>
    <xf numFmtId="164" fontId="2" fillId="6" borderId="0" xfId="0" applyNumberFormat="1" applyFont="1" applyFill="1"/>
    <xf numFmtId="165" fontId="2" fillId="5" borderId="0" xfId="0" applyNumberFormat="1" applyFont="1" applyFill="1"/>
    <xf numFmtId="0" fontId="0" fillId="5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zoomScaleNormal="100" workbookViewId="0">
      <selection activeCell="A10" sqref="A10:XFD10"/>
    </sheetView>
  </sheetViews>
  <sheetFormatPr defaultColWidth="8.6640625" defaultRowHeight="14.4" x14ac:dyDescent="0.3"/>
  <cols>
    <col min="1" max="1" width="32" customWidth="1"/>
    <col min="2" max="2" width="7" customWidth="1"/>
    <col min="3" max="3" width="16" customWidth="1"/>
    <col min="4" max="7" width="12" customWidth="1"/>
    <col min="8" max="9" width="20" customWidth="1"/>
  </cols>
  <sheetData>
    <row r="1" spans="1:9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3">
      <c r="A2" s="2" t="s">
        <v>9</v>
      </c>
      <c r="B2" s="2">
        <v>2022</v>
      </c>
      <c r="C2" s="2">
        <v>0.62</v>
      </c>
      <c r="D2" s="2">
        <v>1.18</v>
      </c>
      <c r="E2" s="2">
        <v>1.76</v>
      </c>
      <c r="F2" s="2">
        <v>2.66</v>
      </c>
      <c r="G2" s="2">
        <v>7.96</v>
      </c>
      <c r="H2" s="2" t="s">
        <v>10</v>
      </c>
      <c r="I2" s="3">
        <v>17700000</v>
      </c>
    </row>
    <row r="3" spans="1:9" ht="15" customHeight="1" x14ac:dyDescent="0.3">
      <c r="A3" s="2" t="s">
        <v>11</v>
      </c>
      <c r="B3" s="2">
        <v>2022</v>
      </c>
      <c r="C3" s="2">
        <v>1.45</v>
      </c>
      <c r="D3" s="2">
        <v>2.19</v>
      </c>
      <c r="E3" s="2">
        <v>2.88</v>
      </c>
      <c r="F3" s="2">
        <v>3.92</v>
      </c>
      <c r="G3" s="2">
        <v>8.7799999999999994</v>
      </c>
      <c r="H3" s="2" t="s">
        <v>12</v>
      </c>
      <c r="I3" s="3">
        <v>17100000</v>
      </c>
    </row>
    <row r="4" spans="1:9" ht="15" customHeight="1" x14ac:dyDescent="0.3">
      <c r="A4" s="2" t="s">
        <v>13</v>
      </c>
      <c r="B4" s="2">
        <v>2022</v>
      </c>
      <c r="C4" s="2">
        <v>0.6</v>
      </c>
      <c r="D4" s="2">
        <v>1.08</v>
      </c>
      <c r="E4" s="2">
        <v>1.52</v>
      </c>
      <c r="F4" s="2">
        <v>2.2200000000000002</v>
      </c>
      <c r="G4" s="2">
        <v>5.31</v>
      </c>
      <c r="H4" s="2" t="s">
        <v>14</v>
      </c>
      <c r="I4" s="3">
        <v>18300000</v>
      </c>
    </row>
    <row r="5" spans="1:9" ht="15" customHeight="1" x14ac:dyDescent="0.3">
      <c r="A5" s="2" t="s">
        <v>15</v>
      </c>
      <c r="B5" s="2">
        <v>2022</v>
      </c>
      <c r="C5" s="2">
        <v>1.8</v>
      </c>
      <c r="D5" s="2">
        <v>2.84</v>
      </c>
      <c r="E5" s="2">
        <v>3.92</v>
      </c>
      <c r="F5" s="2">
        <v>5.77</v>
      </c>
      <c r="G5" s="2">
        <v>14.56</v>
      </c>
      <c r="H5" s="2" t="s">
        <v>16</v>
      </c>
      <c r="I5" s="3">
        <v>14500000</v>
      </c>
    </row>
    <row r="6" spans="1:9" ht="15" customHeight="1" x14ac:dyDescent="0.3">
      <c r="A6" s="2" t="s">
        <v>17</v>
      </c>
      <c r="B6" s="2">
        <v>2022</v>
      </c>
      <c r="C6" s="2">
        <v>0.74</v>
      </c>
      <c r="D6" s="2">
        <v>1.36</v>
      </c>
      <c r="E6" s="2">
        <v>1.98</v>
      </c>
      <c r="F6" s="2">
        <v>2.96</v>
      </c>
      <c r="G6" s="2">
        <v>6.61</v>
      </c>
      <c r="H6" s="2" t="s">
        <v>18</v>
      </c>
      <c r="I6" s="3">
        <v>72900000</v>
      </c>
    </row>
    <row r="7" spans="1:9" ht="15" customHeight="1" x14ac:dyDescent="0.3">
      <c r="A7" s="2" t="s">
        <v>19</v>
      </c>
      <c r="B7" s="2">
        <v>2022</v>
      </c>
      <c r="C7" s="2">
        <v>1.82</v>
      </c>
      <c r="D7" s="2">
        <v>3.05</v>
      </c>
      <c r="E7" s="2">
        <v>4.13</v>
      </c>
      <c r="F7" s="2">
        <v>5.35</v>
      </c>
      <c r="G7" s="2">
        <v>10.85</v>
      </c>
      <c r="H7" s="2" t="s">
        <v>20</v>
      </c>
      <c r="I7" s="3">
        <v>44500000</v>
      </c>
    </row>
    <row r="8" spans="1:9" s="17" customFormat="1" ht="15" customHeight="1" x14ac:dyDescent="0.3">
      <c r="A8" s="12" t="s">
        <v>21</v>
      </c>
      <c r="B8" s="12">
        <v>2022</v>
      </c>
      <c r="C8" s="12">
        <v>1.72</v>
      </c>
      <c r="D8" s="12">
        <v>2.67</v>
      </c>
      <c r="E8" s="12">
        <v>3.54</v>
      </c>
      <c r="F8" s="12">
        <v>4.9800000000000004</v>
      </c>
      <c r="G8" s="12">
        <v>11.31</v>
      </c>
      <c r="H8" s="12" t="s">
        <v>22</v>
      </c>
      <c r="I8" s="13">
        <v>11900000</v>
      </c>
    </row>
    <row r="9" spans="1:9" ht="15" customHeight="1" x14ac:dyDescent="0.3">
      <c r="A9" s="2" t="s">
        <v>23</v>
      </c>
      <c r="B9" s="2">
        <v>2022</v>
      </c>
      <c r="C9" s="2">
        <v>1.04</v>
      </c>
      <c r="D9" s="2">
        <v>1.7</v>
      </c>
      <c r="E9" s="2">
        <v>2.31</v>
      </c>
      <c r="F9" s="2">
        <v>3.22</v>
      </c>
      <c r="G9" s="2">
        <v>7.16</v>
      </c>
      <c r="H9" s="2" t="s">
        <v>24</v>
      </c>
      <c r="I9" s="3">
        <v>11400000</v>
      </c>
    </row>
    <row r="10" spans="1:9" s="17" customFormat="1" ht="15" customHeight="1" x14ac:dyDescent="0.3">
      <c r="A10" s="12" t="s">
        <v>25</v>
      </c>
      <c r="B10" s="12">
        <v>2022</v>
      </c>
      <c r="C10" s="12">
        <v>0.6</v>
      </c>
      <c r="D10" s="12">
        <v>1.27</v>
      </c>
      <c r="E10" s="12">
        <v>2.19</v>
      </c>
      <c r="F10" s="12">
        <v>3.89</v>
      </c>
      <c r="G10" s="12">
        <v>12.1</v>
      </c>
      <c r="H10" s="12" t="s">
        <v>26</v>
      </c>
      <c r="I10" s="13">
        <v>9600000</v>
      </c>
    </row>
    <row r="11" spans="1:9" ht="15" customHeight="1" x14ac:dyDescent="0.3">
      <c r="A11" s="2" t="s">
        <v>27</v>
      </c>
      <c r="B11" s="2">
        <v>2022</v>
      </c>
      <c r="C11" s="2">
        <v>0.68</v>
      </c>
      <c r="D11" s="2">
        <v>1.38</v>
      </c>
      <c r="E11" s="2">
        <v>2.06</v>
      </c>
      <c r="F11" s="2">
        <v>3.16</v>
      </c>
      <c r="G11" s="2">
        <v>7.19</v>
      </c>
      <c r="H11" s="2" t="s">
        <v>28</v>
      </c>
      <c r="I11" s="3">
        <v>9500000</v>
      </c>
    </row>
    <row r="12" spans="1:9" ht="15" customHeight="1" x14ac:dyDescent="0.3">
      <c r="A12" s="2" t="s">
        <v>29</v>
      </c>
      <c r="B12" s="2">
        <v>2022</v>
      </c>
      <c r="C12" s="2">
        <v>1.71</v>
      </c>
      <c r="D12" s="2">
        <v>3.29</v>
      </c>
      <c r="E12" s="2">
        <v>5.31</v>
      </c>
      <c r="F12" s="2">
        <v>8.39</v>
      </c>
      <c r="G12" s="2">
        <v>20.079999999999998</v>
      </c>
      <c r="H12" s="2" t="s">
        <v>30</v>
      </c>
      <c r="I12" s="3">
        <v>4500000</v>
      </c>
    </row>
    <row r="13" spans="1:9" ht="15" customHeight="1" x14ac:dyDescent="0.3">
      <c r="A13" s="2" t="s">
        <v>31</v>
      </c>
      <c r="B13" s="2">
        <v>2022</v>
      </c>
      <c r="C13" s="2">
        <v>1.42</v>
      </c>
      <c r="D13" s="2">
        <v>2.4</v>
      </c>
      <c r="E13" s="2">
        <v>3.62</v>
      </c>
      <c r="F13" s="2">
        <v>5.8</v>
      </c>
      <c r="G13" s="2">
        <v>17.079999999999998</v>
      </c>
      <c r="H13" s="2" t="s">
        <v>32</v>
      </c>
      <c r="I13" s="3">
        <v>7200000</v>
      </c>
    </row>
    <row r="14" spans="1:9" ht="15" customHeight="1" x14ac:dyDescent="0.3">
      <c r="A14" s="2" t="s">
        <v>33</v>
      </c>
      <c r="B14" s="2">
        <v>2022</v>
      </c>
      <c r="C14" s="2">
        <v>2.64</v>
      </c>
      <c r="D14" s="2">
        <v>4.21</v>
      </c>
      <c r="E14" s="2">
        <v>5.89</v>
      </c>
      <c r="F14" s="2">
        <v>8.35</v>
      </c>
      <c r="G14" s="2">
        <v>17.059999999999999</v>
      </c>
      <c r="H14" s="2" t="s">
        <v>34</v>
      </c>
      <c r="I14" s="3">
        <v>5600000</v>
      </c>
    </row>
    <row r="15" spans="1:9" ht="15" customHeight="1" x14ac:dyDescent="0.3">
      <c r="A15" s="2" t="s">
        <v>35</v>
      </c>
      <c r="B15" s="2">
        <v>2022</v>
      </c>
      <c r="C15" s="2">
        <v>1.8</v>
      </c>
      <c r="D15" s="2">
        <v>2.86</v>
      </c>
      <c r="E15" s="2">
        <v>3.9</v>
      </c>
      <c r="F15" s="2">
        <v>5.52</v>
      </c>
      <c r="G15" s="2">
        <v>11.63</v>
      </c>
      <c r="H15" s="2" t="s">
        <v>36</v>
      </c>
      <c r="I15" s="3">
        <v>10600000</v>
      </c>
    </row>
    <row r="16" spans="1:9" ht="15" customHeight="1" x14ac:dyDescent="0.3">
      <c r="A16" s="2" t="s">
        <v>37</v>
      </c>
      <c r="B16" s="2">
        <v>2022</v>
      </c>
      <c r="C16" s="2">
        <v>2.04</v>
      </c>
      <c r="D16" s="2">
        <v>3.06</v>
      </c>
      <c r="E16" s="2">
        <v>4.01</v>
      </c>
      <c r="F16" s="2">
        <v>5.5</v>
      </c>
      <c r="G16" s="2">
        <v>11.59</v>
      </c>
      <c r="H16" s="2" t="s">
        <v>38</v>
      </c>
      <c r="I16" s="3">
        <v>4800000</v>
      </c>
    </row>
    <row r="17" spans="1:9" ht="15" customHeight="1" x14ac:dyDescent="0.3">
      <c r="A17" s="2" t="s">
        <v>39</v>
      </c>
      <c r="B17" s="2">
        <v>2022</v>
      </c>
      <c r="C17" s="2">
        <v>2.81</v>
      </c>
      <c r="D17" s="2">
        <v>4.38</v>
      </c>
      <c r="E17" s="2">
        <v>6.03</v>
      </c>
      <c r="F17" s="2">
        <v>8.56</v>
      </c>
      <c r="G17" s="2">
        <v>18.55</v>
      </c>
      <c r="H17" s="2" t="s">
        <v>40</v>
      </c>
      <c r="I17" s="3">
        <v>4100000</v>
      </c>
    </row>
    <row r="18" spans="1:9" ht="15" customHeight="1" x14ac:dyDescent="0.3">
      <c r="A18" s="2" t="s">
        <v>41</v>
      </c>
      <c r="B18" s="2">
        <v>2022</v>
      </c>
      <c r="C18" s="2">
        <v>1.56</v>
      </c>
      <c r="D18" s="2">
        <v>3.31</v>
      </c>
      <c r="E18" s="2">
        <v>5.08</v>
      </c>
      <c r="F18" s="2">
        <v>7.66</v>
      </c>
      <c r="G18" s="2">
        <v>16.7</v>
      </c>
      <c r="H18" s="2" t="s">
        <v>42</v>
      </c>
      <c r="I18" s="3">
        <v>3900000</v>
      </c>
    </row>
    <row r="19" spans="1:9" ht="15" customHeight="1" x14ac:dyDescent="0.3">
      <c r="A19" s="2" t="s">
        <v>43</v>
      </c>
      <c r="B19" s="2">
        <v>2022</v>
      </c>
      <c r="C19" s="2">
        <v>1.73</v>
      </c>
      <c r="D19" s="2">
        <v>3.02</v>
      </c>
      <c r="E19" s="2">
        <v>4.3600000000000003</v>
      </c>
      <c r="F19" s="2">
        <v>6.49</v>
      </c>
      <c r="G19" s="2">
        <v>15.06</v>
      </c>
      <c r="H19" s="2" t="s">
        <v>44</v>
      </c>
      <c r="I19" s="3">
        <v>3500000</v>
      </c>
    </row>
    <row r="20" spans="1:9" ht="15" customHeight="1" x14ac:dyDescent="0.3">
      <c r="A20" s="2" t="s">
        <v>45</v>
      </c>
      <c r="B20" s="2">
        <v>2022</v>
      </c>
      <c r="C20" s="2">
        <v>1.86</v>
      </c>
      <c r="D20" s="2">
        <v>3.04</v>
      </c>
      <c r="E20" s="2">
        <v>4.2</v>
      </c>
      <c r="F20" s="2">
        <v>5.85</v>
      </c>
      <c r="G20" s="2">
        <v>11.22</v>
      </c>
      <c r="H20" s="2" t="s">
        <v>46</v>
      </c>
      <c r="I20" s="3">
        <v>2800000</v>
      </c>
    </row>
    <row r="21" spans="1:9" ht="15" customHeight="1" x14ac:dyDescent="0.3">
      <c r="A21" s="2" t="s">
        <v>47</v>
      </c>
      <c r="B21" s="2">
        <v>2022</v>
      </c>
      <c r="C21" s="2">
        <v>3.15</v>
      </c>
      <c r="D21" s="2">
        <v>5.26</v>
      </c>
      <c r="E21" s="2">
        <v>7.19</v>
      </c>
      <c r="F21" s="2">
        <v>9.8000000000000007</v>
      </c>
      <c r="G21" s="2">
        <v>17.11</v>
      </c>
      <c r="H21" s="2" t="s">
        <v>48</v>
      </c>
      <c r="I21" s="3">
        <v>1300000</v>
      </c>
    </row>
    <row r="22" spans="1:9" ht="15" customHeight="1" x14ac:dyDescent="0.3">
      <c r="A22" s="2" t="s">
        <v>49</v>
      </c>
      <c r="B22" s="2">
        <v>2022</v>
      </c>
      <c r="C22" s="2">
        <v>2.17</v>
      </c>
      <c r="D22" s="2">
        <v>3.47</v>
      </c>
      <c r="E22" s="2">
        <v>4.72</v>
      </c>
      <c r="F22" s="2">
        <v>6.73</v>
      </c>
      <c r="G22" s="2">
        <v>14.32</v>
      </c>
      <c r="H22" s="2" t="s">
        <v>50</v>
      </c>
      <c r="I22" s="3">
        <v>4000000</v>
      </c>
    </row>
    <row r="23" spans="1:9" ht="15" customHeight="1" x14ac:dyDescent="0.3">
      <c r="A23" s="2" t="s">
        <v>51</v>
      </c>
      <c r="B23" s="2">
        <v>2022</v>
      </c>
      <c r="C23" s="2">
        <v>1.23</v>
      </c>
      <c r="D23" s="2">
        <v>2.04</v>
      </c>
      <c r="E23" s="2">
        <v>2.83</v>
      </c>
      <c r="F23" s="2">
        <v>4.12</v>
      </c>
      <c r="G23" s="2">
        <v>10.59</v>
      </c>
      <c r="H23" s="2" t="s">
        <v>52</v>
      </c>
      <c r="I23" s="3">
        <v>6300000</v>
      </c>
    </row>
    <row r="24" spans="1:9" ht="15" customHeight="1" x14ac:dyDescent="0.3">
      <c r="A24" s="2" t="s">
        <v>53</v>
      </c>
      <c r="B24" s="2">
        <v>2022</v>
      </c>
      <c r="C24" s="2">
        <v>1.86</v>
      </c>
      <c r="D24" s="2">
        <v>3.86</v>
      </c>
      <c r="E24" s="2">
        <v>6.57</v>
      </c>
      <c r="F24" s="2">
        <v>13.29</v>
      </c>
      <c r="G24" s="2">
        <v>54.99</v>
      </c>
      <c r="H24" s="2" t="s">
        <v>54</v>
      </c>
      <c r="I24" s="3">
        <v>2300000</v>
      </c>
    </row>
    <row r="25" spans="1:9" ht="15" customHeight="1" x14ac:dyDescent="0.3">
      <c r="A25" s="2" t="s">
        <v>55</v>
      </c>
      <c r="B25" s="2">
        <v>2022</v>
      </c>
      <c r="C25" s="2">
        <v>2.2999999999999998</v>
      </c>
      <c r="D25" s="2">
        <v>4.17</v>
      </c>
      <c r="E25" s="2">
        <v>6.6</v>
      </c>
      <c r="F25" s="2">
        <v>11.59</v>
      </c>
      <c r="G25" s="2">
        <v>34.83</v>
      </c>
      <c r="H25" s="2" t="s">
        <v>56</v>
      </c>
      <c r="I25" s="3">
        <v>379500</v>
      </c>
    </row>
    <row r="26" spans="1:9" ht="15" customHeight="1" x14ac:dyDescent="0.3">
      <c r="A26" s="2" t="s">
        <v>57</v>
      </c>
      <c r="B26" s="2">
        <v>2022</v>
      </c>
      <c r="C26" s="2">
        <v>2.15</v>
      </c>
      <c r="D26" s="2">
        <v>4.25</v>
      </c>
      <c r="E26" s="2">
        <v>6.14</v>
      </c>
      <c r="F26" s="2">
        <v>8.7899999999999991</v>
      </c>
      <c r="G26" s="2">
        <v>19.43</v>
      </c>
      <c r="H26" s="2" t="s">
        <v>58</v>
      </c>
      <c r="I26" s="3">
        <v>303600</v>
      </c>
    </row>
    <row r="27" spans="1:9" ht="15" customHeight="1" x14ac:dyDescent="0.3">
      <c r="A27" s="2" t="s">
        <v>59</v>
      </c>
      <c r="B27" s="2">
        <v>2022</v>
      </c>
      <c r="C27" s="2">
        <v>4.92</v>
      </c>
      <c r="D27" s="2">
        <v>9.0299999999999994</v>
      </c>
      <c r="E27" s="2">
        <v>13.11</v>
      </c>
      <c r="F27" s="2">
        <v>19.16</v>
      </c>
      <c r="G27" s="2">
        <v>36.94</v>
      </c>
      <c r="H27" s="2" t="s">
        <v>60</v>
      </c>
      <c r="I27" s="3">
        <v>47200</v>
      </c>
    </row>
    <row r="28" spans="1:9" ht="15" customHeight="1" x14ac:dyDescent="0.3">
      <c r="A28" s="2" t="s">
        <v>61</v>
      </c>
      <c r="B28" s="2">
        <v>2022</v>
      </c>
      <c r="C28" s="2">
        <v>1.88</v>
      </c>
      <c r="D28" s="2">
        <v>3.94</v>
      </c>
      <c r="E28" s="2">
        <v>6.03</v>
      </c>
      <c r="F28" s="2">
        <v>9.6199999999999992</v>
      </c>
      <c r="G28" s="2">
        <v>21.83</v>
      </c>
      <c r="H28" s="2" t="s">
        <v>62</v>
      </c>
      <c r="I28" s="3">
        <v>69000</v>
      </c>
    </row>
    <row r="29" spans="1:9" ht="15" customHeight="1" x14ac:dyDescent="0.3">
      <c r="A29" s="2" t="s">
        <v>63</v>
      </c>
      <c r="B29" s="2">
        <v>2022</v>
      </c>
      <c r="C29" s="2">
        <v>2.33</v>
      </c>
      <c r="D29" s="2">
        <v>3.83</v>
      </c>
      <c r="E29" s="2">
        <v>5.37</v>
      </c>
      <c r="F29" s="2">
        <v>7.62</v>
      </c>
      <c r="G29" s="2">
        <v>17.66</v>
      </c>
      <c r="H29" s="2" t="s">
        <v>64</v>
      </c>
      <c r="I29" s="3">
        <v>24500</v>
      </c>
    </row>
    <row r="30" spans="1:9" ht="15" customHeight="1" x14ac:dyDescent="0.3">
      <c r="A30" s="2" t="s">
        <v>65</v>
      </c>
      <c r="B30" s="2">
        <v>2022</v>
      </c>
      <c r="C30" s="2">
        <v>2.11</v>
      </c>
      <c r="D30" s="2">
        <v>4.58</v>
      </c>
      <c r="E30" s="2">
        <v>7.74</v>
      </c>
      <c r="F30" s="2">
        <v>14.05</v>
      </c>
      <c r="G30" s="2">
        <v>50.14</v>
      </c>
      <c r="H30" s="2" t="s">
        <v>66</v>
      </c>
      <c r="I30" s="3">
        <v>507700</v>
      </c>
    </row>
    <row r="31" spans="1:9" ht="15" customHeight="1" x14ac:dyDescent="0.3">
      <c r="A31" s="2" t="s">
        <v>67</v>
      </c>
      <c r="B31" s="2">
        <v>2022</v>
      </c>
      <c r="C31" s="2">
        <v>2.2200000000000002</v>
      </c>
      <c r="D31" s="2">
        <v>3.74</v>
      </c>
      <c r="E31" s="2">
        <v>5.21</v>
      </c>
      <c r="F31" s="2">
        <v>7.43</v>
      </c>
      <c r="G31" s="2">
        <v>15.67</v>
      </c>
      <c r="H31" s="2" t="s">
        <v>68</v>
      </c>
      <c r="I31" s="3">
        <v>704300</v>
      </c>
    </row>
    <row r="32" spans="1:9" ht="15" customHeight="1" x14ac:dyDescent="0.3">
      <c r="A32" s="2" t="s">
        <v>69</v>
      </c>
      <c r="B32" s="2">
        <v>2022</v>
      </c>
      <c r="C32" s="2">
        <v>1.42</v>
      </c>
      <c r="D32" s="2">
        <v>2.77</v>
      </c>
      <c r="E32" s="2">
        <v>4.4400000000000004</v>
      </c>
      <c r="F32" s="2">
        <v>7.07</v>
      </c>
      <c r="G32" s="2">
        <v>15.59</v>
      </c>
      <c r="H32" s="2" t="s">
        <v>70</v>
      </c>
      <c r="I32" s="3">
        <v>936300</v>
      </c>
    </row>
    <row r="33" spans="1:9" ht="15" customHeight="1" x14ac:dyDescent="0.3">
      <c r="A33" s="2" t="s">
        <v>71</v>
      </c>
      <c r="B33" s="2">
        <v>2022</v>
      </c>
      <c r="C33" s="2">
        <v>1.72</v>
      </c>
      <c r="D33" s="2">
        <v>2.86</v>
      </c>
      <c r="E33" s="2">
        <v>4</v>
      </c>
      <c r="F33" s="2">
        <v>5.6</v>
      </c>
      <c r="G33" s="2">
        <v>10.46</v>
      </c>
      <c r="H33" s="2" t="s">
        <v>72</v>
      </c>
      <c r="I33" s="3">
        <v>74800000</v>
      </c>
    </row>
    <row r="34" spans="1:9" ht="15" customHeight="1" x14ac:dyDescent="0.3">
      <c r="A34" s="2" t="s">
        <v>73</v>
      </c>
      <c r="B34" s="2">
        <v>2022</v>
      </c>
      <c r="C34" s="2">
        <v>1.51</v>
      </c>
      <c r="D34" s="2">
        <v>2.33</v>
      </c>
      <c r="E34" s="2">
        <v>3.15</v>
      </c>
      <c r="F34" s="2">
        <v>4.54</v>
      </c>
      <c r="G34" s="2">
        <v>10.69</v>
      </c>
      <c r="H34" s="2" t="s">
        <v>74</v>
      </c>
      <c r="I34" s="3">
        <v>27500000</v>
      </c>
    </row>
    <row r="35" spans="1:9" ht="15" customHeight="1" x14ac:dyDescent="0.3">
      <c r="A35" s="2" t="s">
        <v>75</v>
      </c>
      <c r="B35" s="2">
        <v>2022</v>
      </c>
      <c r="C35" s="2">
        <v>2.48</v>
      </c>
      <c r="D35" s="2">
        <v>3.88</v>
      </c>
      <c r="E35" s="2">
        <v>5.15</v>
      </c>
      <c r="F35" s="2">
        <v>6.81</v>
      </c>
      <c r="G35" s="2">
        <v>11.33</v>
      </c>
      <c r="H35" s="2" t="s">
        <v>76</v>
      </c>
      <c r="I35" s="3">
        <v>6100000</v>
      </c>
    </row>
    <row r="36" spans="1:9" ht="15" customHeight="1" x14ac:dyDescent="0.3">
      <c r="A36" s="2" t="s">
        <v>77</v>
      </c>
      <c r="B36" s="2">
        <v>2022</v>
      </c>
      <c r="C36" s="2">
        <v>2.37</v>
      </c>
      <c r="D36" s="2">
        <v>3.72</v>
      </c>
      <c r="E36" s="2">
        <v>4.96</v>
      </c>
      <c r="F36" s="2">
        <v>6.66</v>
      </c>
      <c r="G36" s="2">
        <v>13.05</v>
      </c>
      <c r="H36" s="2" t="s">
        <v>78</v>
      </c>
      <c r="I36" s="3">
        <v>13800000</v>
      </c>
    </row>
    <row r="37" spans="1:9" ht="15" customHeight="1" x14ac:dyDescent="0.3">
      <c r="A37" s="2" t="s">
        <v>79</v>
      </c>
      <c r="B37" s="2">
        <v>2022</v>
      </c>
      <c r="C37" s="2">
        <v>0.82</v>
      </c>
      <c r="D37" s="2">
        <v>1.47</v>
      </c>
      <c r="E37" s="2">
        <v>2.13</v>
      </c>
      <c r="F37" s="2">
        <v>3.24</v>
      </c>
      <c r="G37" s="2">
        <v>7.45</v>
      </c>
      <c r="H37" s="2" t="s">
        <v>44</v>
      </c>
      <c r="I37" s="3">
        <v>3500000</v>
      </c>
    </row>
    <row r="38" spans="1:9" ht="15" customHeight="1" x14ac:dyDescent="0.3">
      <c r="A38" s="2" t="s">
        <v>80</v>
      </c>
      <c r="B38" s="2">
        <v>2022</v>
      </c>
      <c r="C38" s="2">
        <v>1.42</v>
      </c>
      <c r="D38" s="2">
        <v>2.38</v>
      </c>
      <c r="E38" s="2">
        <v>3.33</v>
      </c>
      <c r="F38" s="2">
        <v>4.8099999999999996</v>
      </c>
      <c r="G38" s="2">
        <v>11.76</v>
      </c>
      <c r="H38" s="2" t="s">
        <v>81</v>
      </c>
      <c r="I38" s="3">
        <v>22100000</v>
      </c>
    </row>
    <row r="39" spans="1:9" ht="15" customHeight="1" x14ac:dyDescent="0.3">
      <c r="A39" s="2" t="s">
        <v>82</v>
      </c>
      <c r="B39" s="2">
        <v>2022</v>
      </c>
      <c r="C39" s="2">
        <v>0.96</v>
      </c>
      <c r="D39" s="2">
        <v>1.53</v>
      </c>
      <c r="E39" s="2">
        <v>2.08</v>
      </c>
      <c r="F39" s="2">
        <v>2.93</v>
      </c>
      <c r="G39" s="2">
        <v>6.45</v>
      </c>
      <c r="H39" s="2" t="s">
        <v>12</v>
      </c>
      <c r="I39" s="3">
        <v>17100000</v>
      </c>
    </row>
    <row r="40" spans="1:9" ht="15" customHeight="1" x14ac:dyDescent="0.3">
      <c r="A40" s="2" t="s">
        <v>83</v>
      </c>
      <c r="B40" s="2">
        <v>2022</v>
      </c>
      <c r="C40" s="2">
        <v>1.27</v>
      </c>
      <c r="D40" s="2">
        <v>2.5499999999999998</v>
      </c>
      <c r="E40" s="2">
        <v>4.08</v>
      </c>
      <c r="F40" s="2">
        <v>6.41</v>
      </c>
      <c r="G40" s="2">
        <v>16.649999999999999</v>
      </c>
      <c r="H40" s="2" t="s">
        <v>84</v>
      </c>
      <c r="I40" s="3">
        <v>2100000</v>
      </c>
    </row>
    <row r="41" spans="1:9" ht="15" customHeight="1" x14ac:dyDescent="0.3">
      <c r="A41" s="2" t="s">
        <v>85</v>
      </c>
      <c r="B41" s="2">
        <v>2022</v>
      </c>
      <c r="C41" s="2">
        <v>2.19</v>
      </c>
      <c r="D41" s="2">
        <v>3.3</v>
      </c>
      <c r="E41" s="2">
        <v>4.46</v>
      </c>
      <c r="F41" s="2">
        <v>6.2</v>
      </c>
      <c r="G41" s="2">
        <v>12.2</v>
      </c>
      <c r="H41" s="2" t="s">
        <v>86</v>
      </c>
      <c r="I41" s="3">
        <v>1000000</v>
      </c>
    </row>
    <row r="42" spans="1:9" ht="15" customHeight="1" x14ac:dyDescent="0.3">
      <c r="A42" s="2" t="s">
        <v>87</v>
      </c>
      <c r="B42" s="2">
        <v>2022</v>
      </c>
      <c r="C42" s="2">
        <v>1.35</v>
      </c>
      <c r="D42" s="2">
        <v>2.84</v>
      </c>
      <c r="E42" s="2">
        <v>4.6500000000000004</v>
      </c>
      <c r="F42" s="2">
        <v>7.56</v>
      </c>
      <c r="G42" s="2">
        <v>20.56</v>
      </c>
      <c r="H42" s="2" t="s">
        <v>88</v>
      </c>
      <c r="I42" s="3">
        <v>12500000</v>
      </c>
    </row>
    <row r="43" spans="1:9" ht="15" customHeight="1" x14ac:dyDescent="0.3">
      <c r="A43" s="2" t="s">
        <v>89</v>
      </c>
      <c r="B43" s="2">
        <v>2022</v>
      </c>
      <c r="C43" s="2">
        <v>2.46</v>
      </c>
      <c r="D43" s="2">
        <v>3.74</v>
      </c>
      <c r="E43" s="2">
        <v>5.1100000000000003</v>
      </c>
      <c r="F43" s="2">
        <v>7.34</v>
      </c>
      <c r="G43" s="2">
        <v>14.57</v>
      </c>
      <c r="H43" s="2" t="s">
        <v>90</v>
      </c>
      <c r="I43" s="3">
        <v>8800000</v>
      </c>
    </row>
    <row r="44" spans="1:9" ht="15" customHeight="1" x14ac:dyDescent="0.3">
      <c r="A44" s="2" t="s">
        <v>91</v>
      </c>
      <c r="B44" s="2">
        <v>2022</v>
      </c>
      <c r="C44" s="2">
        <v>1.38</v>
      </c>
      <c r="D44" s="2">
        <v>2.58</v>
      </c>
      <c r="E44" s="2">
        <v>4.07</v>
      </c>
      <c r="F44" s="2">
        <v>7.06</v>
      </c>
      <c r="G44" s="2">
        <v>22.9</v>
      </c>
      <c r="H44" s="2" t="s">
        <v>92</v>
      </c>
      <c r="I44" s="3">
        <v>177600</v>
      </c>
    </row>
    <row r="46" spans="1:9" ht="15" customHeight="1" x14ac:dyDescent="0.3">
      <c r="A46" s="18" t="s">
        <v>93</v>
      </c>
      <c r="B46" s="18"/>
      <c r="C46" s="18"/>
      <c r="D46" s="18"/>
      <c r="E46" s="18"/>
      <c r="F46" s="18"/>
      <c r="G46" s="18"/>
      <c r="H46" s="18"/>
      <c r="I46" s="18"/>
    </row>
  </sheetData>
  <mergeCells count="1">
    <mergeCell ref="A46:I4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topLeftCell="A9" zoomScaleNormal="100" workbookViewId="0">
      <selection activeCell="A26" sqref="A26:XFD26"/>
    </sheetView>
  </sheetViews>
  <sheetFormatPr defaultColWidth="8.6640625" defaultRowHeight="14.4" x14ac:dyDescent="0.3"/>
  <cols>
    <col min="1" max="1" width="32" customWidth="1"/>
    <col min="2" max="2" width="7" customWidth="1"/>
    <col min="3" max="3" width="16" customWidth="1"/>
    <col min="4" max="7" width="12" customWidth="1"/>
    <col min="8" max="8" width="20" customWidth="1"/>
    <col min="9" max="9" width="22" customWidth="1"/>
  </cols>
  <sheetData>
    <row r="1" spans="1:9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94</v>
      </c>
      <c r="I1" s="1" t="s">
        <v>95</v>
      </c>
    </row>
    <row r="2" spans="1:9" ht="15" customHeight="1" x14ac:dyDescent="0.3">
      <c r="A2" s="2" t="s">
        <v>9</v>
      </c>
      <c r="B2" s="2">
        <v>2022</v>
      </c>
      <c r="C2" s="2">
        <v>1.23</v>
      </c>
      <c r="D2" s="2">
        <v>2.36</v>
      </c>
      <c r="E2" s="2">
        <v>3.52</v>
      </c>
      <c r="F2" s="2">
        <v>5.32</v>
      </c>
      <c r="G2" s="2">
        <v>15.92</v>
      </c>
      <c r="H2" s="2" t="s">
        <v>12</v>
      </c>
      <c r="I2" s="3">
        <v>17100000</v>
      </c>
    </row>
    <row r="3" spans="1:9" ht="15" customHeight="1" x14ac:dyDescent="0.3">
      <c r="A3" s="2" t="s">
        <v>11</v>
      </c>
      <c r="B3" s="2">
        <v>2022</v>
      </c>
      <c r="C3" s="2">
        <v>2.89</v>
      </c>
      <c r="D3" s="2">
        <v>4.38</v>
      </c>
      <c r="E3" s="2">
        <v>5.76</v>
      </c>
      <c r="F3" s="2">
        <v>7.85</v>
      </c>
      <c r="G3" s="2">
        <v>17.57</v>
      </c>
      <c r="H3" s="2" t="s">
        <v>96</v>
      </c>
      <c r="I3" s="3">
        <v>11800000</v>
      </c>
    </row>
    <row r="4" spans="1:9" ht="15" customHeight="1" x14ac:dyDescent="0.3">
      <c r="A4" s="2" t="s">
        <v>13</v>
      </c>
      <c r="B4" s="2">
        <v>2022</v>
      </c>
      <c r="C4" s="2">
        <v>1.2</v>
      </c>
      <c r="D4" s="2">
        <v>2.15</v>
      </c>
      <c r="E4" s="2">
        <v>3.04</v>
      </c>
      <c r="F4" s="2">
        <v>4.4400000000000004</v>
      </c>
      <c r="G4" s="2">
        <v>10.61</v>
      </c>
      <c r="H4" s="2" t="s">
        <v>97</v>
      </c>
      <c r="I4" s="3">
        <v>13700000</v>
      </c>
    </row>
    <row r="5" spans="1:9" ht="15" customHeight="1" x14ac:dyDescent="0.3">
      <c r="A5" s="2" t="s">
        <v>15</v>
      </c>
      <c r="B5" s="2">
        <v>2022</v>
      </c>
      <c r="C5" s="2">
        <v>3.61</v>
      </c>
      <c r="D5" s="2">
        <v>5.68</v>
      </c>
      <c r="E5" s="2">
        <v>7.84</v>
      </c>
      <c r="F5" s="2">
        <v>11.54</v>
      </c>
      <c r="G5" s="2">
        <v>29.12</v>
      </c>
      <c r="H5" s="2" t="s">
        <v>98</v>
      </c>
      <c r="I5" s="3">
        <v>6500000</v>
      </c>
    </row>
    <row r="6" spans="1:9" ht="15" customHeight="1" x14ac:dyDescent="0.3">
      <c r="A6" s="2" t="s">
        <v>17</v>
      </c>
      <c r="B6" s="2">
        <v>2022</v>
      </c>
      <c r="C6" s="2">
        <v>1.48</v>
      </c>
      <c r="D6" s="2">
        <v>2.73</v>
      </c>
      <c r="E6" s="2">
        <v>3.96</v>
      </c>
      <c r="F6" s="2">
        <v>5.91</v>
      </c>
      <c r="G6" s="2">
        <v>13.22</v>
      </c>
      <c r="H6" s="2" t="s">
        <v>99</v>
      </c>
      <c r="I6" s="3">
        <v>58200000</v>
      </c>
    </row>
    <row r="7" spans="1:9" ht="15" customHeight="1" x14ac:dyDescent="0.3">
      <c r="A7" s="2" t="s">
        <v>19</v>
      </c>
      <c r="B7" s="2">
        <v>2022</v>
      </c>
      <c r="C7" s="2">
        <v>3.63</v>
      </c>
      <c r="D7" s="2">
        <v>6.1</v>
      </c>
      <c r="E7" s="2">
        <v>8.25</v>
      </c>
      <c r="F7" s="2">
        <v>10.7</v>
      </c>
      <c r="G7" s="2">
        <v>21.71</v>
      </c>
      <c r="H7" s="2" t="s">
        <v>100</v>
      </c>
      <c r="I7" s="3">
        <v>22700000</v>
      </c>
    </row>
    <row r="8" spans="1:9" s="17" customFormat="1" ht="15" customHeight="1" x14ac:dyDescent="0.3">
      <c r="A8" s="12" t="s">
        <v>21</v>
      </c>
      <c r="B8" s="12">
        <v>2022</v>
      </c>
      <c r="C8" s="12">
        <v>3.43</v>
      </c>
      <c r="D8" s="12">
        <v>5.33</v>
      </c>
      <c r="E8" s="12">
        <v>7.08</v>
      </c>
      <c r="F8" s="12">
        <v>9.9600000000000009</v>
      </c>
      <c r="G8" s="12">
        <v>22.61</v>
      </c>
      <c r="H8" s="12" t="s">
        <v>28</v>
      </c>
      <c r="I8" s="13">
        <v>9500000</v>
      </c>
    </row>
    <row r="9" spans="1:9" ht="15" customHeight="1" x14ac:dyDescent="0.3">
      <c r="A9" s="2" t="s">
        <v>23</v>
      </c>
      <c r="B9" s="2">
        <v>2022</v>
      </c>
      <c r="C9" s="2">
        <v>2.08</v>
      </c>
      <c r="D9" s="2">
        <v>3.4</v>
      </c>
      <c r="E9" s="2">
        <v>4.62</v>
      </c>
      <c r="F9" s="2">
        <v>6.44</v>
      </c>
      <c r="G9" s="2">
        <v>14.32</v>
      </c>
      <c r="H9" s="2" t="s">
        <v>101</v>
      </c>
      <c r="I9" s="3">
        <v>8500000</v>
      </c>
    </row>
    <row r="10" spans="1:9" s="17" customFormat="1" ht="15" customHeight="1" x14ac:dyDescent="0.3">
      <c r="A10" s="12" t="s">
        <v>25</v>
      </c>
      <c r="B10" s="12">
        <v>2022</v>
      </c>
      <c r="C10" s="12">
        <v>1.2</v>
      </c>
      <c r="D10" s="12">
        <v>2.54</v>
      </c>
      <c r="E10" s="12">
        <v>4.38</v>
      </c>
      <c r="F10" s="12">
        <v>7.78</v>
      </c>
      <c r="G10" s="12">
        <v>24.21</v>
      </c>
      <c r="H10" s="12" t="s">
        <v>102</v>
      </c>
      <c r="I10" s="13">
        <v>7600000</v>
      </c>
    </row>
    <row r="11" spans="1:9" ht="15" customHeight="1" x14ac:dyDescent="0.3">
      <c r="A11" s="2" t="s">
        <v>27</v>
      </c>
      <c r="B11" s="2">
        <v>2022</v>
      </c>
      <c r="C11" s="2">
        <v>1.36</v>
      </c>
      <c r="D11" s="2">
        <v>2.77</v>
      </c>
      <c r="E11" s="2">
        <v>4.12</v>
      </c>
      <c r="F11" s="2">
        <v>6.33</v>
      </c>
      <c r="G11" s="2">
        <v>14.38</v>
      </c>
      <c r="H11" s="2" t="s">
        <v>103</v>
      </c>
      <c r="I11" s="3">
        <v>6900000</v>
      </c>
    </row>
    <row r="12" spans="1:9" ht="15" customHeight="1" x14ac:dyDescent="0.3">
      <c r="A12" s="2" t="s">
        <v>29</v>
      </c>
      <c r="B12" s="2">
        <v>2022</v>
      </c>
      <c r="C12" s="2">
        <v>3.43</v>
      </c>
      <c r="D12" s="2">
        <v>6.57</v>
      </c>
      <c r="E12" s="2">
        <v>10.63</v>
      </c>
      <c r="F12" s="2">
        <v>16.79</v>
      </c>
      <c r="G12" s="2">
        <v>40.17</v>
      </c>
      <c r="H12" s="2" t="s">
        <v>104</v>
      </c>
      <c r="I12" s="3">
        <v>2600000</v>
      </c>
    </row>
    <row r="13" spans="1:9" ht="15" customHeight="1" x14ac:dyDescent="0.3">
      <c r="A13" s="2" t="s">
        <v>31</v>
      </c>
      <c r="B13" s="2">
        <v>2022</v>
      </c>
      <c r="C13" s="2">
        <v>2.84</v>
      </c>
      <c r="D13" s="2">
        <v>4.8099999999999996</v>
      </c>
      <c r="E13" s="2">
        <v>7.23</v>
      </c>
      <c r="F13" s="2">
        <v>11.6</v>
      </c>
      <c r="G13" s="2">
        <v>34.159999999999997</v>
      </c>
      <c r="H13" s="2" t="s">
        <v>105</v>
      </c>
      <c r="I13" s="3">
        <v>6000000</v>
      </c>
    </row>
    <row r="14" spans="1:9" ht="15" customHeight="1" x14ac:dyDescent="0.3">
      <c r="A14" s="2" t="s">
        <v>33</v>
      </c>
      <c r="B14" s="2">
        <v>2022</v>
      </c>
      <c r="C14" s="2">
        <v>5.29</v>
      </c>
      <c r="D14" s="2">
        <v>8.43</v>
      </c>
      <c r="E14" s="2">
        <v>11.79</v>
      </c>
      <c r="F14" s="2">
        <v>16.7</v>
      </c>
      <c r="G14" s="2">
        <v>34.130000000000003</v>
      </c>
      <c r="H14" s="2" t="s">
        <v>84</v>
      </c>
      <c r="I14" s="3">
        <v>2100000</v>
      </c>
    </row>
    <row r="15" spans="1:9" ht="15" customHeight="1" x14ac:dyDescent="0.3">
      <c r="A15" s="2" t="s">
        <v>35</v>
      </c>
      <c r="B15" s="2">
        <v>2022</v>
      </c>
      <c r="C15" s="2">
        <v>3.59</v>
      </c>
      <c r="D15" s="2">
        <v>5.72</v>
      </c>
      <c r="E15" s="2">
        <v>7.8</v>
      </c>
      <c r="F15" s="2">
        <v>11.04</v>
      </c>
      <c r="G15" s="2">
        <v>23.27</v>
      </c>
      <c r="H15" s="2" t="s">
        <v>106</v>
      </c>
      <c r="I15" s="3">
        <v>4200000</v>
      </c>
    </row>
    <row r="16" spans="1:9" ht="15" customHeight="1" x14ac:dyDescent="0.3">
      <c r="A16" s="2" t="s">
        <v>37</v>
      </c>
      <c r="B16" s="2">
        <v>2022</v>
      </c>
      <c r="C16" s="2">
        <v>4.09</v>
      </c>
      <c r="D16" s="2">
        <v>6.12</v>
      </c>
      <c r="E16" s="2">
        <v>8.01</v>
      </c>
      <c r="F16" s="2">
        <v>11</v>
      </c>
      <c r="G16" s="2">
        <v>23.18</v>
      </c>
      <c r="H16" s="2" t="s">
        <v>107</v>
      </c>
      <c r="I16" s="3">
        <v>2200000</v>
      </c>
    </row>
    <row r="17" spans="1:9" ht="15" customHeight="1" x14ac:dyDescent="0.3">
      <c r="A17" s="2" t="s">
        <v>39</v>
      </c>
      <c r="B17" s="2">
        <v>2022</v>
      </c>
      <c r="C17" s="2">
        <v>5.63</v>
      </c>
      <c r="D17" s="2">
        <v>8.76</v>
      </c>
      <c r="E17" s="2">
        <v>12.06</v>
      </c>
      <c r="F17" s="2">
        <v>17.12</v>
      </c>
      <c r="G17" s="2">
        <v>37.1</v>
      </c>
      <c r="H17" s="2" t="s">
        <v>108</v>
      </c>
      <c r="I17" s="3">
        <v>1700000</v>
      </c>
    </row>
    <row r="18" spans="1:9" ht="15" customHeight="1" x14ac:dyDescent="0.3">
      <c r="A18" s="2" t="s">
        <v>41</v>
      </c>
      <c r="B18" s="2">
        <v>2022</v>
      </c>
      <c r="C18" s="2">
        <v>3.12</v>
      </c>
      <c r="D18" s="2">
        <v>6.61</v>
      </c>
      <c r="E18" s="2">
        <v>10.17</v>
      </c>
      <c r="F18" s="2">
        <v>15.32</v>
      </c>
      <c r="G18" s="2">
        <v>33.4</v>
      </c>
      <c r="H18" s="2" t="s">
        <v>109</v>
      </c>
      <c r="I18" s="3">
        <v>3200000</v>
      </c>
    </row>
    <row r="19" spans="1:9" ht="15" customHeight="1" x14ac:dyDescent="0.3">
      <c r="A19" s="2" t="s">
        <v>43</v>
      </c>
      <c r="B19" s="2">
        <v>2022</v>
      </c>
      <c r="C19" s="2">
        <v>3.47</v>
      </c>
      <c r="D19" s="2">
        <v>6.05</v>
      </c>
      <c r="E19" s="2">
        <v>8.7100000000000009</v>
      </c>
      <c r="F19" s="2">
        <v>12.98</v>
      </c>
      <c r="G19" s="2">
        <v>30.12</v>
      </c>
      <c r="H19" s="2" t="s">
        <v>107</v>
      </c>
      <c r="I19" s="3">
        <v>2200000</v>
      </c>
    </row>
    <row r="20" spans="1:9" ht="15" customHeight="1" x14ac:dyDescent="0.3">
      <c r="A20" s="2" t="s">
        <v>45</v>
      </c>
      <c r="B20" s="2">
        <v>2022</v>
      </c>
      <c r="C20" s="2">
        <v>3.72</v>
      </c>
      <c r="D20" s="2">
        <v>6.08</v>
      </c>
      <c r="E20" s="2">
        <v>8.41</v>
      </c>
      <c r="F20" s="2">
        <v>11.71</v>
      </c>
      <c r="G20" s="2">
        <v>22.45</v>
      </c>
      <c r="H20" s="2" t="s">
        <v>48</v>
      </c>
      <c r="I20" s="3">
        <v>1300000</v>
      </c>
    </row>
    <row r="21" spans="1:9" ht="15" customHeight="1" x14ac:dyDescent="0.3">
      <c r="A21" s="2" t="s">
        <v>47</v>
      </c>
      <c r="B21" s="2">
        <v>2022</v>
      </c>
      <c r="C21" s="2">
        <v>6.3</v>
      </c>
      <c r="D21" s="2">
        <v>10.53</v>
      </c>
      <c r="E21" s="2">
        <v>14.38</v>
      </c>
      <c r="F21" s="2">
        <v>19.600000000000001</v>
      </c>
      <c r="G21" s="2">
        <v>34.21</v>
      </c>
      <c r="H21" s="2" t="s">
        <v>110</v>
      </c>
      <c r="I21" s="3">
        <v>412500</v>
      </c>
    </row>
    <row r="22" spans="1:9" ht="15" customHeight="1" x14ac:dyDescent="0.3">
      <c r="A22" s="2" t="s">
        <v>49</v>
      </c>
      <c r="B22" s="2">
        <v>2022</v>
      </c>
      <c r="C22" s="2">
        <v>4.34</v>
      </c>
      <c r="D22" s="2">
        <v>6.94</v>
      </c>
      <c r="E22" s="2">
        <v>9.44</v>
      </c>
      <c r="F22" s="2">
        <v>13.46</v>
      </c>
      <c r="G22" s="2">
        <v>28.64</v>
      </c>
      <c r="H22" s="2" t="s">
        <v>111</v>
      </c>
      <c r="I22" s="3">
        <v>2000000</v>
      </c>
    </row>
    <row r="23" spans="1:9" ht="15" customHeight="1" x14ac:dyDescent="0.3">
      <c r="A23" s="2" t="s">
        <v>51</v>
      </c>
      <c r="B23" s="2">
        <v>2022</v>
      </c>
      <c r="C23" s="2">
        <v>2.4700000000000002</v>
      </c>
      <c r="D23" s="2">
        <v>4.09</v>
      </c>
      <c r="E23" s="2">
        <v>5.65</v>
      </c>
      <c r="F23" s="2">
        <v>8.24</v>
      </c>
      <c r="G23" s="2">
        <v>21.18</v>
      </c>
      <c r="H23" s="2" t="s">
        <v>38</v>
      </c>
      <c r="I23" s="3">
        <v>4800000</v>
      </c>
    </row>
    <row r="24" spans="1:9" ht="15" customHeight="1" x14ac:dyDescent="0.3">
      <c r="A24" s="2" t="s">
        <v>53</v>
      </c>
      <c r="B24" s="2">
        <v>2022</v>
      </c>
      <c r="C24" s="2">
        <v>3.72</v>
      </c>
      <c r="D24" s="2">
        <v>7.71</v>
      </c>
      <c r="E24" s="2">
        <v>13.15</v>
      </c>
      <c r="F24" s="2">
        <v>26.59</v>
      </c>
      <c r="G24" s="2">
        <v>109.97</v>
      </c>
      <c r="H24" s="2" t="s">
        <v>112</v>
      </c>
      <c r="I24" s="3">
        <v>789300</v>
      </c>
    </row>
    <row r="25" spans="1:9" ht="15" customHeight="1" x14ac:dyDescent="0.3">
      <c r="A25" s="2" t="s">
        <v>55</v>
      </c>
      <c r="B25" s="2">
        <v>2022</v>
      </c>
      <c r="C25" s="2">
        <v>4.6100000000000003</v>
      </c>
      <c r="D25" s="2">
        <v>8.34</v>
      </c>
      <c r="E25" s="2">
        <v>13.2</v>
      </c>
      <c r="F25" s="2">
        <v>23.18</v>
      </c>
      <c r="G25" s="2">
        <v>69.66</v>
      </c>
      <c r="H25" s="2" t="s">
        <v>113</v>
      </c>
      <c r="I25" s="3">
        <v>127000</v>
      </c>
    </row>
    <row r="26" spans="1:9" ht="15" customHeight="1" x14ac:dyDescent="0.3">
      <c r="A26" s="2" t="s">
        <v>57</v>
      </c>
      <c r="B26" s="2">
        <v>2022</v>
      </c>
      <c r="C26" s="2">
        <v>3.86</v>
      </c>
      <c r="D26" s="2">
        <v>7.66</v>
      </c>
      <c r="E26" s="2">
        <v>11.06</v>
      </c>
      <c r="F26" s="2">
        <v>15.83</v>
      </c>
      <c r="G26" s="2">
        <v>34.979999999999997</v>
      </c>
      <c r="H26" s="2" t="s">
        <v>114</v>
      </c>
      <c r="I26" s="3">
        <v>194200</v>
      </c>
    </row>
    <row r="27" spans="1:9" ht="15" customHeight="1" x14ac:dyDescent="0.3">
      <c r="A27" s="2" t="s">
        <v>59</v>
      </c>
      <c r="B27" s="2">
        <v>2022</v>
      </c>
      <c r="C27" s="2">
        <v>9.84</v>
      </c>
      <c r="D27" s="2">
        <v>18.059999999999999</v>
      </c>
      <c r="E27" s="2">
        <v>26.21</v>
      </c>
      <c r="F27" s="2">
        <v>38.31</v>
      </c>
      <c r="G27" s="2">
        <v>73.88</v>
      </c>
      <c r="H27" s="2" t="s">
        <v>115</v>
      </c>
      <c r="I27" s="3">
        <v>0</v>
      </c>
    </row>
    <row r="28" spans="1:9" ht="15" customHeight="1" x14ac:dyDescent="0.3">
      <c r="A28" s="2" t="s">
        <v>61</v>
      </c>
      <c r="B28" s="2">
        <v>2022</v>
      </c>
      <c r="C28" s="2">
        <v>3.77</v>
      </c>
      <c r="D28" s="2">
        <v>7.87</v>
      </c>
      <c r="E28" s="2">
        <v>12.06</v>
      </c>
      <c r="F28" s="2">
        <v>19.23</v>
      </c>
      <c r="G28" s="2">
        <v>43.65</v>
      </c>
      <c r="H28" s="2" t="s">
        <v>116</v>
      </c>
      <c r="I28" s="3">
        <v>29300</v>
      </c>
    </row>
    <row r="29" spans="1:9" ht="15" customHeight="1" x14ac:dyDescent="0.3">
      <c r="A29" s="2" t="s">
        <v>63</v>
      </c>
      <c r="B29" s="2">
        <v>2022</v>
      </c>
      <c r="C29" s="2">
        <v>4.66</v>
      </c>
      <c r="D29" s="2">
        <v>7.66</v>
      </c>
      <c r="E29" s="2">
        <v>10.75</v>
      </c>
      <c r="F29" s="2">
        <v>15.25</v>
      </c>
      <c r="G29" s="2">
        <v>35.33</v>
      </c>
      <c r="H29" s="2" t="s">
        <v>117</v>
      </c>
      <c r="I29" s="3">
        <v>11600</v>
      </c>
    </row>
    <row r="30" spans="1:9" ht="15" customHeight="1" x14ac:dyDescent="0.3">
      <c r="A30" s="2" t="s">
        <v>65</v>
      </c>
      <c r="B30" s="2">
        <v>2022</v>
      </c>
      <c r="C30" s="2">
        <v>4.21</v>
      </c>
      <c r="D30" s="2">
        <v>9.15</v>
      </c>
      <c r="E30" s="2">
        <v>15.48</v>
      </c>
      <c r="F30" s="2">
        <v>28.09</v>
      </c>
      <c r="G30" s="2">
        <v>100.27</v>
      </c>
      <c r="H30" s="2" t="s">
        <v>118</v>
      </c>
      <c r="I30" s="3">
        <v>256900</v>
      </c>
    </row>
    <row r="31" spans="1:9" ht="15" customHeight="1" x14ac:dyDescent="0.3">
      <c r="A31" s="2" t="s">
        <v>67</v>
      </c>
      <c r="B31" s="2">
        <v>2022</v>
      </c>
      <c r="C31" s="2">
        <v>4.43</v>
      </c>
      <c r="D31" s="2">
        <v>7.48</v>
      </c>
      <c r="E31" s="2">
        <v>10.42</v>
      </c>
      <c r="F31" s="2">
        <v>14.86</v>
      </c>
      <c r="G31" s="2">
        <v>31.33</v>
      </c>
      <c r="H31" s="2" t="s">
        <v>119</v>
      </c>
      <c r="I31" s="3">
        <v>308500</v>
      </c>
    </row>
    <row r="32" spans="1:9" ht="15" customHeight="1" x14ac:dyDescent="0.3">
      <c r="A32" s="2" t="s">
        <v>69</v>
      </c>
      <c r="B32" s="2">
        <v>2022</v>
      </c>
      <c r="C32" s="2">
        <v>2.84</v>
      </c>
      <c r="D32" s="2">
        <v>5.55</v>
      </c>
      <c r="E32" s="2">
        <v>8.89</v>
      </c>
      <c r="F32" s="2">
        <v>14.15</v>
      </c>
      <c r="G32" s="2">
        <v>31.18</v>
      </c>
      <c r="H32" s="2" t="s">
        <v>120</v>
      </c>
      <c r="I32" s="3">
        <v>491000</v>
      </c>
    </row>
    <row r="33" spans="1:9" ht="15" customHeight="1" x14ac:dyDescent="0.3">
      <c r="A33" s="2" t="s">
        <v>71</v>
      </c>
      <c r="B33" s="2">
        <v>2022</v>
      </c>
      <c r="C33" s="2">
        <v>3.45</v>
      </c>
      <c r="D33" s="2">
        <v>5.72</v>
      </c>
      <c r="E33" s="2">
        <v>8</v>
      </c>
      <c r="F33" s="2">
        <v>11.2</v>
      </c>
      <c r="G33" s="2">
        <v>20.92</v>
      </c>
      <c r="H33" s="2" t="s">
        <v>121</v>
      </c>
      <c r="I33" s="3">
        <v>44700000</v>
      </c>
    </row>
    <row r="34" spans="1:9" ht="15" customHeight="1" x14ac:dyDescent="0.3">
      <c r="A34" s="2" t="s">
        <v>73</v>
      </c>
      <c r="B34" s="2">
        <v>2022</v>
      </c>
      <c r="C34" s="2">
        <v>3.01</v>
      </c>
      <c r="D34" s="2">
        <v>4.6500000000000004</v>
      </c>
      <c r="E34" s="2">
        <v>6.3</v>
      </c>
      <c r="F34" s="2">
        <v>9.08</v>
      </c>
      <c r="G34" s="2">
        <v>21.39</v>
      </c>
      <c r="H34" s="2" t="s">
        <v>122</v>
      </c>
      <c r="I34" s="3">
        <v>20100000</v>
      </c>
    </row>
    <row r="35" spans="1:9" ht="15" customHeight="1" x14ac:dyDescent="0.3">
      <c r="A35" s="2" t="s">
        <v>75</v>
      </c>
      <c r="B35" s="2">
        <v>2022</v>
      </c>
      <c r="C35" s="2">
        <v>4.96</v>
      </c>
      <c r="D35" s="2">
        <v>7.75</v>
      </c>
      <c r="E35" s="2">
        <v>10.29</v>
      </c>
      <c r="F35" s="2">
        <v>13.62</v>
      </c>
      <c r="G35" s="2">
        <v>22.66</v>
      </c>
      <c r="H35" s="2" t="s">
        <v>123</v>
      </c>
      <c r="I35" s="3">
        <v>1600000</v>
      </c>
    </row>
    <row r="36" spans="1:9" ht="15" customHeight="1" x14ac:dyDescent="0.3">
      <c r="A36" s="2" t="s">
        <v>77</v>
      </c>
      <c r="B36" s="2">
        <v>2022</v>
      </c>
      <c r="C36" s="2">
        <v>4.75</v>
      </c>
      <c r="D36" s="2">
        <v>7.43</v>
      </c>
      <c r="E36" s="2">
        <v>9.92</v>
      </c>
      <c r="F36" s="2">
        <v>13.33</v>
      </c>
      <c r="G36" s="2">
        <v>26.11</v>
      </c>
      <c r="H36" s="2" t="s">
        <v>42</v>
      </c>
      <c r="I36" s="3">
        <v>3900000</v>
      </c>
    </row>
    <row r="37" spans="1:9" ht="15" customHeight="1" x14ac:dyDescent="0.3">
      <c r="A37" s="2" t="s">
        <v>79</v>
      </c>
      <c r="B37" s="2">
        <v>2022</v>
      </c>
      <c r="C37" s="2">
        <v>1.65</v>
      </c>
      <c r="D37" s="2">
        <v>2.94</v>
      </c>
      <c r="E37" s="2">
        <v>4.26</v>
      </c>
      <c r="F37" s="2">
        <v>6.47</v>
      </c>
      <c r="G37" s="2">
        <v>14.89</v>
      </c>
      <c r="H37" s="2" t="s">
        <v>109</v>
      </c>
      <c r="I37" s="3">
        <v>3200000</v>
      </c>
    </row>
    <row r="38" spans="1:9" ht="15" customHeight="1" x14ac:dyDescent="0.3">
      <c r="A38" s="2" t="s">
        <v>80</v>
      </c>
      <c r="B38" s="2">
        <v>2022</v>
      </c>
      <c r="C38" s="2">
        <v>2.84</v>
      </c>
      <c r="D38" s="2">
        <v>4.76</v>
      </c>
      <c r="E38" s="2">
        <v>6.67</v>
      </c>
      <c r="F38" s="2">
        <v>9.6199999999999992</v>
      </c>
      <c r="G38" s="2">
        <v>23.51</v>
      </c>
      <c r="H38" s="2" t="s">
        <v>12</v>
      </c>
      <c r="I38" s="3">
        <v>17100000</v>
      </c>
    </row>
    <row r="39" spans="1:9" ht="15" customHeight="1" x14ac:dyDescent="0.3">
      <c r="A39" s="2" t="s">
        <v>82</v>
      </c>
      <c r="B39" s="2">
        <v>2022</v>
      </c>
      <c r="C39" s="2">
        <v>1.91</v>
      </c>
      <c r="D39" s="2">
        <v>3.06</v>
      </c>
      <c r="E39" s="2">
        <v>4.17</v>
      </c>
      <c r="F39" s="2">
        <v>5.86</v>
      </c>
      <c r="G39" s="2">
        <v>12.9</v>
      </c>
      <c r="H39" s="2" t="s">
        <v>124</v>
      </c>
      <c r="I39" s="3">
        <v>13200000</v>
      </c>
    </row>
    <row r="40" spans="1:9" ht="15" customHeight="1" x14ac:dyDescent="0.3">
      <c r="A40" s="2" t="s">
        <v>83</v>
      </c>
      <c r="B40" s="2">
        <v>2022</v>
      </c>
      <c r="C40" s="2">
        <v>2.54</v>
      </c>
      <c r="D40" s="2">
        <v>5.0999999999999996</v>
      </c>
      <c r="E40" s="2">
        <v>8.16</v>
      </c>
      <c r="F40" s="2">
        <v>12.81</v>
      </c>
      <c r="G40" s="2">
        <v>33.31</v>
      </c>
      <c r="H40" s="2" t="s">
        <v>125</v>
      </c>
      <c r="I40" s="3">
        <v>661000</v>
      </c>
    </row>
    <row r="41" spans="1:9" ht="15" customHeight="1" x14ac:dyDescent="0.3">
      <c r="A41" s="2" t="s">
        <v>85</v>
      </c>
      <c r="B41" s="2">
        <v>2022</v>
      </c>
      <c r="C41" s="2">
        <v>4.3899999999999997</v>
      </c>
      <c r="D41" s="2">
        <v>6.61</v>
      </c>
      <c r="E41" s="2">
        <v>8.93</v>
      </c>
      <c r="F41" s="2">
        <v>12.41</v>
      </c>
      <c r="G41" s="2">
        <v>24.39</v>
      </c>
      <c r="H41" s="2" t="s">
        <v>126</v>
      </c>
      <c r="I41" s="3">
        <v>428200</v>
      </c>
    </row>
    <row r="42" spans="1:9" ht="15" customHeight="1" x14ac:dyDescent="0.3">
      <c r="A42" s="2" t="s">
        <v>87</v>
      </c>
      <c r="B42" s="2">
        <v>2022</v>
      </c>
      <c r="C42" s="2">
        <v>2.7</v>
      </c>
      <c r="D42" s="2">
        <v>5.68</v>
      </c>
      <c r="E42" s="2">
        <v>9.3000000000000007</v>
      </c>
      <c r="F42" s="2">
        <v>15.12</v>
      </c>
      <c r="G42" s="2">
        <v>41.12</v>
      </c>
      <c r="H42" s="2" t="s">
        <v>127</v>
      </c>
      <c r="I42" s="3">
        <v>7400000</v>
      </c>
    </row>
    <row r="43" spans="1:9" ht="15" customHeight="1" x14ac:dyDescent="0.3">
      <c r="A43" s="2" t="s">
        <v>89</v>
      </c>
      <c r="B43" s="2">
        <v>2022</v>
      </c>
      <c r="C43" s="2">
        <v>4.93</v>
      </c>
      <c r="D43" s="2">
        <v>7.48</v>
      </c>
      <c r="E43" s="2">
        <v>10.220000000000001</v>
      </c>
      <c r="F43" s="2">
        <v>14.67</v>
      </c>
      <c r="G43" s="2">
        <v>29.14</v>
      </c>
      <c r="H43" s="2" t="s">
        <v>128</v>
      </c>
      <c r="I43" s="3">
        <v>1900000</v>
      </c>
    </row>
    <row r="44" spans="1:9" ht="15" customHeight="1" x14ac:dyDescent="0.3">
      <c r="A44" s="2" t="s">
        <v>91</v>
      </c>
      <c r="B44" s="2">
        <v>2022</v>
      </c>
      <c r="C44" s="2">
        <v>2.75</v>
      </c>
      <c r="D44" s="2">
        <v>5.15</v>
      </c>
      <c r="E44" s="2">
        <v>8.15</v>
      </c>
      <c r="F44" s="2">
        <v>14.11</v>
      </c>
      <c r="G44" s="2">
        <v>45.79</v>
      </c>
      <c r="H44" s="2" t="s">
        <v>129</v>
      </c>
      <c r="I44" s="3">
        <v>93800</v>
      </c>
    </row>
    <row r="46" spans="1:9" ht="15" customHeight="1" x14ac:dyDescent="0.3">
      <c r="A46" s="18" t="s">
        <v>130</v>
      </c>
      <c r="B46" s="18"/>
      <c r="C46" s="18"/>
      <c r="D46" s="18"/>
      <c r="E46" s="18"/>
      <c r="F46" s="18"/>
      <c r="G46" s="18"/>
      <c r="H46" s="18"/>
      <c r="I46" s="18"/>
    </row>
  </sheetData>
  <mergeCells count="1">
    <mergeCell ref="A46:I4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"/>
  <sheetViews>
    <sheetView topLeftCell="A24" zoomScaleNormal="100" workbookViewId="0"/>
  </sheetViews>
  <sheetFormatPr defaultColWidth="8.6640625" defaultRowHeight="14.4" x14ac:dyDescent="0.3"/>
  <cols>
    <col min="1" max="1" width="32" customWidth="1"/>
    <col min="2" max="2" width="7" customWidth="1"/>
    <col min="3" max="4" width="26" customWidth="1"/>
    <col min="5" max="5" width="32" customWidth="1"/>
  </cols>
  <sheetData>
    <row r="1" spans="1:5" ht="26.25" customHeight="1" x14ac:dyDescent="0.3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 ht="15" customHeight="1" x14ac:dyDescent="0.3">
      <c r="A2" s="2" t="s">
        <v>9</v>
      </c>
      <c r="B2" s="2">
        <v>2022</v>
      </c>
      <c r="C2" s="2" t="s">
        <v>134</v>
      </c>
      <c r="D2" s="3">
        <v>22000000</v>
      </c>
      <c r="E2" s="4">
        <v>0.67</v>
      </c>
    </row>
    <row r="3" spans="1:5" ht="15" customHeight="1" x14ac:dyDescent="0.3">
      <c r="A3" s="2" t="s">
        <v>11</v>
      </c>
      <c r="B3" s="2">
        <v>2022</v>
      </c>
      <c r="C3" s="2" t="s">
        <v>135</v>
      </c>
      <c r="D3" s="3">
        <v>21100000</v>
      </c>
      <c r="E3" s="4">
        <v>0.8</v>
      </c>
    </row>
    <row r="4" spans="1:5" ht="15" customHeight="1" x14ac:dyDescent="0.3">
      <c r="A4" s="2" t="s">
        <v>13</v>
      </c>
      <c r="B4" s="2">
        <v>2022</v>
      </c>
      <c r="C4" s="2" t="s">
        <v>136</v>
      </c>
      <c r="D4" s="3">
        <v>18900000</v>
      </c>
      <c r="E4" s="4">
        <v>0.64</v>
      </c>
    </row>
    <row r="5" spans="1:5" ht="15" customHeight="1" x14ac:dyDescent="0.3">
      <c r="A5" s="2" t="s">
        <v>15</v>
      </c>
      <c r="B5" s="2">
        <v>2022</v>
      </c>
      <c r="C5" s="2" t="s">
        <v>137</v>
      </c>
      <c r="D5" s="3">
        <v>18400000</v>
      </c>
      <c r="E5" s="4">
        <v>0.81</v>
      </c>
    </row>
    <row r="6" spans="1:5" ht="15" customHeight="1" x14ac:dyDescent="0.3">
      <c r="A6" s="2" t="s">
        <v>17</v>
      </c>
      <c r="B6" s="2">
        <v>2022</v>
      </c>
      <c r="C6" s="2" t="s">
        <v>138</v>
      </c>
      <c r="D6" s="3">
        <v>77700000</v>
      </c>
      <c r="E6" s="4">
        <v>0.79</v>
      </c>
    </row>
    <row r="7" spans="1:5" ht="15" customHeight="1" x14ac:dyDescent="0.3">
      <c r="A7" s="2" t="s">
        <v>19</v>
      </c>
      <c r="B7" s="2">
        <v>2022</v>
      </c>
      <c r="C7" s="2" t="s">
        <v>139</v>
      </c>
      <c r="D7" s="3">
        <v>55000000</v>
      </c>
      <c r="E7" s="4">
        <v>0.45</v>
      </c>
    </row>
    <row r="8" spans="1:5" ht="15" customHeight="1" x14ac:dyDescent="0.3">
      <c r="A8" s="2" t="s">
        <v>21</v>
      </c>
      <c r="B8" s="2">
        <v>2022</v>
      </c>
      <c r="C8" s="2" t="s">
        <v>140</v>
      </c>
      <c r="D8" s="3">
        <v>13000000</v>
      </c>
      <c r="E8" s="4">
        <v>0.24</v>
      </c>
    </row>
    <row r="9" spans="1:5" ht="15" customHeight="1" x14ac:dyDescent="0.3">
      <c r="A9" s="2" t="s">
        <v>23</v>
      </c>
      <c r="B9" s="2">
        <v>2022</v>
      </c>
      <c r="C9" s="2" t="s">
        <v>141</v>
      </c>
      <c r="D9" s="3">
        <v>11600000</v>
      </c>
      <c r="E9" s="4">
        <v>0.9</v>
      </c>
    </row>
    <row r="10" spans="1:5" ht="15" customHeight="1" x14ac:dyDescent="0.3">
      <c r="A10" s="2" t="s">
        <v>25</v>
      </c>
      <c r="B10" s="2">
        <v>2022</v>
      </c>
      <c r="C10" s="2" t="s">
        <v>142</v>
      </c>
      <c r="D10" s="3">
        <v>10400000</v>
      </c>
      <c r="E10" s="4">
        <v>0.52</v>
      </c>
    </row>
    <row r="11" spans="1:5" ht="15" customHeight="1" x14ac:dyDescent="0.3">
      <c r="A11" s="2" t="s">
        <v>27</v>
      </c>
      <c r="B11" s="2">
        <v>2022</v>
      </c>
      <c r="C11" s="2" t="s">
        <v>143</v>
      </c>
      <c r="D11" s="3">
        <v>10000000</v>
      </c>
      <c r="E11" s="4">
        <v>0.92</v>
      </c>
    </row>
    <row r="12" spans="1:5" ht="15" customHeight="1" x14ac:dyDescent="0.3">
      <c r="A12" s="2" t="s">
        <v>29</v>
      </c>
      <c r="B12" s="2">
        <v>2022</v>
      </c>
      <c r="C12" s="2" t="s">
        <v>144</v>
      </c>
      <c r="D12" s="3">
        <v>8100000</v>
      </c>
      <c r="E12" s="4">
        <v>0.28999999999999998</v>
      </c>
    </row>
    <row r="13" spans="1:5" ht="15" customHeight="1" x14ac:dyDescent="0.3">
      <c r="A13" s="2" t="s">
        <v>31</v>
      </c>
      <c r="B13" s="2">
        <v>2022</v>
      </c>
      <c r="C13" s="2" t="s">
        <v>144</v>
      </c>
      <c r="D13" s="3">
        <v>8100000</v>
      </c>
      <c r="E13" s="4">
        <v>0.5</v>
      </c>
    </row>
    <row r="14" spans="1:5" ht="15" customHeight="1" x14ac:dyDescent="0.3">
      <c r="A14" s="2" t="s">
        <v>33</v>
      </c>
      <c r="B14" s="2">
        <v>2022</v>
      </c>
      <c r="C14" s="2" t="s">
        <v>145</v>
      </c>
      <c r="D14" s="3">
        <v>8300000</v>
      </c>
      <c r="E14" s="4">
        <v>0.3</v>
      </c>
    </row>
    <row r="15" spans="1:5" ht="15" customHeight="1" x14ac:dyDescent="0.3">
      <c r="A15" s="2" t="s">
        <v>35</v>
      </c>
      <c r="B15" s="2">
        <v>2022</v>
      </c>
      <c r="C15" s="2" t="s">
        <v>146</v>
      </c>
      <c r="D15" s="3">
        <v>15600000</v>
      </c>
      <c r="E15" s="4">
        <v>0.88</v>
      </c>
    </row>
    <row r="16" spans="1:5" ht="15" customHeight="1" x14ac:dyDescent="0.3">
      <c r="A16" s="2" t="s">
        <v>37</v>
      </c>
      <c r="B16" s="2">
        <v>2022</v>
      </c>
      <c r="C16" s="2" t="s">
        <v>76</v>
      </c>
      <c r="D16" s="3">
        <v>6100000</v>
      </c>
      <c r="E16" s="4">
        <v>0.71</v>
      </c>
    </row>
    <row r="17" spans="1:5" ht="15" customHeight="1" x14ac:dyDescent="0.3">
      <c r="A17" s="2" t="s">
        <v>39</v>
      </c>
      <c r="B17" s="2">
        <v>2022</v>
      </c>
      <c r="C17" s="2" t="s">
        <v>34</v>
      </c>
      <c r="D17" s="3">
        <v>5600000</v>
      </c>
      <c r="E17" s="4">
        <v>0.32</v>
      </c>
    </row>
    <row r="18" spans="1:5" ht="15" customHeight="1" x14ac:dyDescent="0.3">
      <c r="A18" s="2" t="s">
        <v>41</v>
      </c>
      <c r="B18" s="2">
        <v>2022</v>
      </c>
      <c r="C18" s="2" t="s">
        <v>147</v>
      </c>
      <c r="D18" s="3">
        <v>5000000</v>
      </c>
      <c r="E18" s="4">
        <v>0.15</v>
      </c>
    </row>
    <row r="19" spans="1:5" ht="15" customHeight="1" x14ac:dyDescent="0.3">
      <c r="A19" s="2" t="s">
        <v>43</v>
      </c>
      <c r="B19" s="2">
        <v>2022</v>
      </c>
      <c r="C19" s="2" t="s">
        <v>148</v>
      </c>
      <c r="D19" s="3">
        <v>3800000</v>
      </c>
      <c r="E19" s="4">
        <v>0.43</v>
      </c>
    </row>
    <row r="20" spans="1:5" ht="15" customHeight="1" x14ac:dyDescent="0.3">
      <c r="A20" s="2" t="s">
        <v>45</v>
      </c>
      <c r="B20" s="2">
        <v>2022</v>
      </c>
      <c r="C20" s="2" t="s">
        <v>149</v>
      </c>
      <c r="D20" s="3">
        <v>3600000</v>
      </c>
      <c r="E20" s="4">
        <v>0.68</v>
      </c>
    </row>
    <row r="21" spans="1:5" ht="15" customHeight="1" x14ac:dyDescent="0.3">
      <c r="A21" s="2" t="s">
        <v>47</v>
      </c>
      <c r="B21" s="2">
        <v>2022</v>
      </c>
      <c r="C21" s="2" t="s">
        <v>150</v>
      </c>
      <c r="D21" s="3">
        <v>2400000</v>
      </c>
      <c r="E21" s="4">
        <v>0.51</v>
      </c>
    </row>
    <row r="22" spans="1:5" ht="15" customHeight="1" x14ac:dyDescent="0.3">
      <c r="A22" s="2" t="s">
        <v>49</v>
      </c>
      <c r="B22" s="2">
        <v>2022</v>
      </c>
      <c r="C22" s="2" t="s">
        <v>151</v>
      </c>
      <c r="D22" s="3">
        <v>5800000</v>
      </c>
      <c r="E22" s="4">
        <v>0.43</v>
      </c>
    </row>
    <row r="23" spans="1:5" ht="15" customHeight="1" x14ac:dyDescent="0.3">
      <c r="A23" s="2" t="s">
        <v>51</v>
      </c>
      <c r="B23" s="2">
        <v>2022</v>
      </c>
      <c r="C23" s="2" t="s">
        <v>152</v>
      </c>
      <c r="D23" s="3">
        <v>6800000</v>
      </c>
      <c r="E23" s="4">
        <v>0.49</v>
      </c>
    </row>
    <row r="24" spans="1:5" ht="15" customHeight="1" x14ac:dyDescent="0.3">
      <c r="A24" s="2" t="s">
        <v>53</v>
      </c>
      <c r="B24" s="2">
        <v>2022</v>
      </c>
      <c r="C24" s="2" t="s">
        <v>144</v>
      </c>
      <c r="D24" s="3">
        <v>8100000</v>
      </c>
      <c r="E24" s="4">
        <v>0.14000000000000001</v>
      </c>
    </row>
    <row r="25" spans="1:5" ht="15" customHeight="1" x14ac:dyDescent="0.3">
      <c r="A25" s="2" t="s">
        <v>55</v>
      </c>
      <c r="B25" s="2">
        <v>2022</v>
      </c>
      <c r="C25" s="2" t="s">
        <v>153</v>
      </c>
      <c r="D25" s="3">
        <v>632900</v>
      </c>
      <c r="E25" s="4">
        <v>0.24</v>
      </c>
    </row>
    <row r="26" spans="1:5" ht="15" customHeight="1" x14ac:dyDescent="0.3">
      <c r="A26" s="2" t="s">
        <v>57</v>
      </c>
      <c r="B26" s="2">
        <v>2022</v>
      </c>
      <c r="C26" s="2" t="s">
        <v>154</v>
      </c>
      <c r="D26" s="3">
        <v>389800</v>
      </c>
      <c r="E26" s="4">
        <v>0.35</v>
      </c>
    </row>
    <row r="27" spans="1:5" ht="15" customHeight="1" x14ac:dyDescent="0.3">
      <c r="A27" s="2" t="s">
        <v>59</v>
      </c>
      <c r="B27" s="2">
        <v>2022</v>
      </c>
      <c r="C27" s="2" t="s">
        <v>155</v>
      </c>
      <c r="D27" s="3">
        <v>155400</v>
      </c>
      <c r="E27" s="4">
        <v>7.0000000000000007E-2</v>
      </c>
    </row>
    <row r="28" spans="1:5" ht="15" customHeight="1" x14ac:dyDescent="0.3">
      <c r="A28" s="2" t="s">
        <v>61</v>
      </c>
      <c r="B28" s="2">
        <v>2022</v>
      </c>
      <c r="C28" s="2" t="s">
        <v>156</v>
      </c>
      <c r="D28" s="3">
        <v>84400</v>
      </c>
      <c r="E28" s="4">
        <v>0.1</v>
      </c>
    </row>
    <row r="29" spans="1:5" ht="15" customHeight="1" x14ac:dyDescent="0.3">
      <c r="A29" s="2" t="s">
        <v>63</v>
      </c>
      <c r="B29" s="2">
        <v>2022</v>
      </c>
      <c r="C29" s="2" t="s">
        <v>157</v>
      </c>
      <c r="D29" s="3">
        <v>49100</v>
      </c>
      <c r="E29" s="4">
        <v>0.22</v>
      </c>
    </row>
    <row r="30" spans="1:5" ht="15" customHeight="1" x14ac:dyDescent="0.3">
      <c r="A30" s="2" t="s">
        <v>65</v>
      </c>
      <c r="B30" s="2">
        <v>2022</v>
      </c>
      <c r="C30" s="2" t="s">
        <v>158</v>
      </c>
      <c r="D30" s="3">
        <v>1100000</v>
      </c>
      <c r="E30" s="4">
        <v>0.44</v>
      </c>
    </row>
    <row r="31" spans="1:5" ht="15" customHeight="1" x14ac:dyDescent="0.3">
      <c r="A31" s="2" t="s">
        <v>67</v>
      </c>
      <c r="B31" s="2">
        <v>2022</v>
      </c>
      <c r="C31" s="2" t="s">
        <v>159</v>
      </c>
      <c r="D31" s="3">
        <v>937400</v>
      </c>
      <c r="E31" s="4">
        <v>0.35</v>
      </c>
    </row>
    <row r="32" spans="1:5" ht="15" customHeight="1" x14ac:dyDescent="0.3">
      <c r="A32" s="2" t="s">
        <v>69</v>
      </c>
      <c r="B32" s="2">
        <v>2022</v>
      </c>
      <c r="C32" s="2" t="s">
        <v>158</v>
      </c>
      <c r="D32" s="3">
        <v>1100000</v>
      </c>
      <c r="E32" s="4">
        <v>0.48</v>
      </c>
    </row>
    <row r="33" spans="1:5" ht="15" customHeight="1" x14ac:dyDescent="0.3">
      <c r="A33" s="2" t="s">
        <v>71</v>
      </c>
      <c r="B33" s="2">
        <v>2022</v>
      </c>
      <c r="C33" s="2" t="s">
        <v>160</v>
      </c>
      <c r="D33" s="3">
        <v>86300000</v>
      </c>
      <c r="E33" s="4">
        <v>0.39</v>
      </c>
    </row>
    <row r="34" spans="1:5" ht="15" customHeight="1" x14ac:dyDescent="0.3">
      <c r="A34" s="2" t="s">
        <v>73</v>
      </c>
      <c r="B34" s="2">
        <v>2022</v>
      </c>
      <c r="C34" s="2" t="s">
        <v>161</v>
      </c>
      <c r="D34" s="3">
        <v>35500000</v>
      </c>
      <c r="E34" s="4">
        <v>0.54</v>
      </c>
    </row>
    <row r="35" spans="1:5" ht="15" customHeight="1" x14ac:dyDescent="0.3">
      <c r="A35" s="2" t="s">
        <v>75</v>
      </c>
      <c r="B35" s="2">
        <v>2022</v>
      </c>
      <c r="C35" s="2" t="s">
        <v>32</v>
      </c>
      <c r="D35" s="3">
        <v>7200000</v>
      </c>
      <c r="E35" s="4">
        <v>0.52</v>
      </c>
    </row>
    <row r="36" spans="1:5" ht="15" customHeight="1" x14ac:dyDescent="0.3">
      <c r="A36" s="2" t="s">
        <v>77</v>
      </c>
      <c r="B36" s="2">
        <v>2022</v>
      </c>
      <c r="C36" s="2" t="s">
        <v>162</v>
      </c>
      <c r="D36" s="3">
        <v>17200000</v>
      </c>
      <c r="E36" s="4">
        <v>0.37</v>
      </c>
    </row>
    <row r="37" spans="1:5" ht="15" customHeight="1" x14ac:dyDescent="0.3">
      <c r="A37" s="2" t="s">
        <v>79</v>
      </c>
      <c r="B37" s="2">
        <v>2022</v>
      </c>
      <c r="C37" s="2" t="s">
        <v>163</v>
      </c>
      <c r="D37" s="3">
        <v>4700000</v>
      </c>
      <c r="E37" s="4">
        <v>0.84</v>
      </c>
    </row>
    <row r="38" spans="1:5" ht="15" customHeight="1" x14ac:dyDescent="0.3">
      <c r="A38" s="2" t="s">
        <v>80</v>
      </c>
      <c r="B38" s="2">
        <v>2022</v>
      </c>
      <c r="C38" s="2" t="s">
        <v>164</v>
      </c>
      <c r="D38" s="3">
        <v>25000000</v>
      </c>
      <c r="E38" s="4">
        <v>0.53</v>
      </c>
    </row>
    <row r="39" spans="1:5" ht="15" customHeight="1" x14ac:dyDescent="0.3">
      <c r="A39" s="2" t="s">
        <v>82</v>
      </c>
      <c r="B39" s="2">
        <v>2022</v>
      </c>
      <c r="C39" s="2" t="s">
        <v>165</v>
      </c>
      <c r="D39" s="3">
        <v>17600000</v>
      </c>
      <c r="E39" s="4">
        <v>0.86</v>
      </c>
    </row>
    <row r="40" spans="1:5" ht="15" customHeight="1" x14ac:dyDescent="0.3">
      <c r="A40" s="2" t="s">
        <v>83</v>
      </c>
      <c r="B40" s="2">
        <v>2022</v>
      </c>
      <c r="C40" s="2" t="s">
        <v>166</v>
      </c>
      <c r="D40" s="3">
        <v>3000000</v>
      </c>
      <c r="E40" s="4">
        <v>0.49</v>
      </c>
    </row>
    <row r="41" spans="1:5" ht="15" customHeight="1" x14ac:dyDescent="0.3">
      <c r="A41" s="2" t="s">
        <v>85</v>
      </c>
      <c r="B41" s="2">
        <v>2022</v>
      </c>
      <c r="C41" s="2" t="s">
        <v>48</v>
      </c>
      <c r="D41" s="3">
        <v>1300000</v>
      </c>
      <c r="E41" s="4">
        <v>0.63</v>
      </c>
    </row>
    <row r="42" spans="1:5" ht="15" customHeight="1" x14ac:dyDescent="0.3">
      <c r="A42" s="2" t="s">
        <v>87</v>
      </c>
      <c r="B42" s="2">
        <v>2022</v>
      </c>
      <c r="C42" s="2" t="s">
        <v>14</v>
      </c>
      <c r="D42" s="3">
        <v>18300000</v>
      </c>
      <c r="E42" s="4">
        <v>0.52</v>
      </c>
    </row>
    <row r="43" spans="1:5" ht="15" customHeight="1" x14ac:dyDescent="0.3">
      <c r="A43" s="2" t="s">
        <v>89</v>
      </c>
      <c r="B43" s="2">
        <v>2022</v>
      </c>
      <c r="C43" s="2" t="s">
        <v>36</v>
      </c>
      <c r="D43" s="3">
        <v>10600000</v>
      </c>
      <c r="E43" s="4">
        <v>0.47</v>
      </c>
    </row>
    <row r="44" spans="1:5" ht="15" customHeight="1" x14ac:dyDescent="0.3">
      <c r="A44" s="2" t="s">
        <v>91</v>
      </c>
      <c r="B44" s="2">
        <v>2022</v>
      </c>
      <c r="C44" s="2" t="s">
        <v>167</v>
      </c>
      <c r="D44" s="3">
        <v>213000</v>
      </c>
      <c r="E44" s="4">
        <v>0.18</v>
      </c>
    </row>
    <row r="46" spans="1:5" ht="15" customHeight="1" x14ac:dyDescent="0.3">
      <c r="A46" s="18" t="s">
        <v>168</v>
      </c>
      <c r="B46" s="18"/>
      <c r="C46" s="18"/>
      <c r="D46" s="18"/>
      <c r="E46" s="18"/>
    </row>
  </sheetData>
  <mergeCells count="1">
    <mergeCell ref="A46:E4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8"/>
  <sheetViews>
    <sheetView tabSelected="1" topLeftCell="A29" zoomScaleNormal="100" workbookViewId="0">
      <selection activeCell="E46" sqref="E46"/>
    </sheetView>
  </sheetViews>
  <sheetFormatPr defaultColWidth="8.6640625" defaultRowHeight="14.4" x14ac:dyDescent="0.3"/>
  <cols>
    <col min="1" max="1" width="30" customWidth="1"/>
    <col min="2" max="4" width="16" customWidth="1"/>
    <col min="5" max="5" width="15" customWidth="1"/>
    <col min="6" max="7" width="13" customWidth="1"/>
    <col min="8" max="8" width="15" customWidth="1"/>
    <col min="9" max="10" width="13" customWidth="1"/>
    <col min="11" max="11" width="20" customWidth="1"/>
  </cols>
  <sheetData>
    <row r="1" spans="1:11" ht="39" customHeight="1" x14ac:dyDescent="0.3">
      <c r="A1" s="5" t="s">
        <v>0</v>
      </c>
      <c r="B1" s="5" t="s">
        <v>169</v>
      </c>
      <c r="C1" s="5" t="s">
        <v>170</v>
      </c>
      <c r="D1" s="5" t="s">
        <v>171</v>
      </c>
      <c r="E1" s="5" t="s">
        <v>172</v>
      </c>
      <c r="F1" s="5" t="s">
        <v>173</v>
      </c>
      <c r="G1" s="5" t="s">
        <v>174</v>
      </c>
      <c r="H1" s="5" t="s">
        <v>175</v>
      </c>
      <c r="I1" s="5" t="s">
        <v>176</v>
      </c>
      <c r="J1" s="5" t="s">
        <v>177</v>
      </c>
      <c r="K1" s="5" t="s">
        <v>178</v>
      </c>
    </row>
    <row r="2" spans="1:11" ht="15" customHeight="1" x14ac:dyDescent="0.3">
      <c r="A2" s="2" t="s">
        <v>9</v>
      </c>
      <c r="B2" s="3">
        <f>IFERROR(INDEX('SSA Total Unelectrified'!$D$2:$D$44, MATCH($A2, 'SSA Total Unelectrified'!$A$2:$A$44, 0)), "n/a")</f>
        <v>22000000</v>
      </c>
      <c r="C2" s="3">
        <f>IFERROR(INDEX('SSA Quintile Data (5pct)'!$I$2:$I$44, MATCH($A2, 'SSA Quintile Data (5pct)'!$A$2:$A$44, 0)), "n/a")</f>
        <v>17700000</v>
      </c>
      <c r="D2" s="3">
        <f>IFERROR(INDEX('SSA Quintile Data (10pct)'!$I$2:$I$44, MATCH($A2, 'SSA Quintile Data (10pct)'!$A$2:$A$44, 0)), "n/a")</f>
        <v>17100000</v>
      </c>
      <c r="E2" s="4">
        <f t="shared" ref="E2:E44" si="0">IFERROR(($B2-$C2)/$B2, "n/a")</f>
        <v>0.19545454545454546</v>
      </c>
      <c r="F2" s="4">
        <f t="shared" ref="F2:F44" si="1">IFERROR(($C2-$D2)/$B2, "n/a")</f>
        <v>2.7272727272727271E-2</v>
      </c>
      <c r="G2" s="4">
        <f t="shared" ref="G2:G44" si="2">IFERROR($D2/$B2, "n/a")</f>
        <v>0.77727272727272723</v>
      </c>
      <c r="H2" s="6">
        <v>1E-3</v>
      </c>
      <c r="I2" s="6">
        <v>2E-3</v>
      </c>
      <c r="J2" s="6">
        <v>0.997</v>
      </c>
      <c r="K2" s="7">
        <f>IFERROR(($J2-$G2)*100, "n/a")</f>
        <v>21.972727272727276</v>
      </c>
    </row>
    <row r="3" spans="1:11" ht="15" customHeight="1" x14ac:dyDescent="0.3">
      <c r="A3" s="2" t="s">
        <v>11</v>
      </c>
      <c r="B3" s="3">
        <f>IFERROR(INDEX('SSA Total Unelectrified'!$D$2:$D$44, MATCH($A3, 'SSA Total Unelectrified'!$A$2:$A$44, 0)), "n/a")</f>
        <v>21100000</v>
      </c>
      <c r="C3" s="3">
        <f>IFERROR(INDEX('SSA Quintile Data (5pct)'!$I$2:$I$44, MATCH($A3, 'SSA Quintile Data (5pct)'!$A$2:$A$44, 0)), "n/a")</f>
        <v>17100000</v>
      </c>
      <c r="D3" s="3">
        <f>IFERROR(INDEX('SSA Quintile Data (10pct)'!$I$2:$I$44, MATCH($A3, 'SSA Quintile Data (10pct)'!$A$2:$A$44, 0)), "n/a")</f>
        <v>11800000</v>
      </c>
      <c r="E3" s="4">
        <f t="shared" si="0"/>
        <v>0.1895734597156398</v>
      </c>
      <c r="F3" s="4">
        <f t="shared" si="1"/>
        <v>0.25118483412322273</v>
      </c>
      <c r="G3" s="4">
        <f t="shared" si="2"/>
        <v>0.55924170616113744</v>
      </c>
      <c r="H3" s="6">
        <v>8.9999999999999993E-3</v>
      </c>
      <c r="I3" s="6">
        <v>9.4E-2</v>
      </c>
      <c r="J3" s="6">
        <v>0.89700000000000002</v>
      </c>
      <c r="K3" s="7">
        <f t="shared" ref="K3:K44" si="3">IFERROR(($J3-$G3)*100, "n/a")</f>
        <v>33.775829383886261</v>
      </c>
    </row>
    <row r="4" spans="1:11" ht="15" customHeight="1" x14ac:dyDescent="0.3">
      <c r="A4" s="2" t="s">
        <v>13</v>
      </c>
      <c r="B4" s="3">
        <f>IFERROR(INDEX('SSA Total Unelectrified'!$D$2:$D$44, MATCH($A4, 'SSA Total Unelectrified'!$A$2:$A$44, 0)), "n/a")</f>
        <v>18900000</v>
      </c>
      <c r="C4" s="3">
        <f>IFERROR(INDEX('SSA Quintile Data (5pct)'!$I$2:$I$44, MATCH($A4, 'SSA Quintile Data (5pct)'!$A$2:$A$44, 0)), "n/a")</f>
        <v>18300000</v>
      </c>
      <c r="D4" s="3">
        <f>IFERROR(INDEX('SSA Quintile Data (10pct)'!$I$2:$I$44, MATCH($A4, 'SSA Quintile Data (10pct)'!$A$2:$A$44, 0)), "n/a")</f>
        <v>13700000</v>
      </c>
      <c r="E4" s="4">
        <f t="shared" si="0"/>
        <v>3.1746031746031744E-2</v>
      </c>
      <c r="F4" s="4">
        <f t="shared" si="1"/>
        <v>0.24338624338624337</v>
      </c>
      <c r="G4" s="4">
        <f t="shared" si="2"/>
        <v>0.72486772486772488</v>
      </c>
      <c r="H4" s="6">
        <v>1E-3</v>
      </c>
      <c r="I4" s="6">
        <v>5.0000000000000001E-3</v>
      </c>
      <c r="J4" s="6">
        <v>0.99399999999999999</v>
      </c>
      <c r="K4" s="7">
        <f t="shared" si="3"/>
        <v>26.913227513227511</v>
      </c>
    </row>
    <row r="5" spans="1:11" ht="15" customHeight="1" x14ac:dyDescent="0.3">
      <c r="A5" s="2" t="s">
        <v>15</v>
      </c>
      <c r="B5" s="3">
        <f>IFERROR(INDEX('SSA Total Unelectrified'!$D$2:$D$44, MATCH($A5, 'SSA Total Unelectrified'!$A$2:$A$44, 0)), "n/a")</f>
        <v>18400000</v>
      </c>
      <c r="C5" s="3">
        <f>IFERROR(INDEX('SSA Quintile Data (5pct)'!$I$2:$I$44, MATCH($A5, 'SSA Quintile Data (5pct)'!$A$2:$A$44, 0)), "n/a")</f>
        <v>14500000</v>
      </c>
      <c r="D5" s="3">
        <f>IFERROR(INDEX('SSA Quintile Data (10pct)'!$I$2:$I$44, MATCH($A5, 'SSA Quintile Data (10pct)'!$A$2:$A$44, 0)), "n/a")</f>
        <v>6500000</v>
      </c>
      <c r="E5" s="4">
        <f t="shared" si="0"/>
        <v>0.21195652173913043</v>
      </c>
      <c r="F5" s="4">
        <f t="shared" si="1"/>
        <v>0.43478260869565216</v>
      </c>
      <c r="G5" s="4">
        <f t="shared" si="2"/>
        <v>0.35326086956521741</v>
      </c>
      <c r="H5" s="6">
        <v>3.0000000000000001E-3</v>
      </c>
      <c r="I5" s="6">
        <v>0.10100000000000001</v>
      </c>
      <c r="J5" s="6">
        <v>0.89600000000000002</v>
      </c>
      <c r="K5" s="7">
        <f t="shared" si="3"/>
        <v>54.27391304347826</v>
      </c>
    </row>
    <row r="6" spans="1:11" ht="15" customHeight="1" x14ac:dyDescent="0.3">
      <c r="A6" s="2" t="s">
        <v>17</v>
      </c>
      <c r="B6" s="3">
        <f>IFERROR(INDEX('SSA Total Unelectrified'!$D$2:$D$44, MATCH($A6, 'SSA Total Unelectrified'!$A$2:$A$44, 0)), "n/a")</f>
        <v>77700000</v>
      </c>
      <c r="C6" s="3">
        <f>IFERROR(INDEX('SSA Quintile Data (5pct)'!$I$2:$I$44, MATCH($A6, 'SSA Quintile Data (5pct)'!$A$2:$A$44, 0)), "n/a")</f>
        <v>72900000</v>
      </c>
      <c r="D6" s="3">
        <f>IFERROR(INDEX('SSA Quintile Data (10pct)'!$I$2:$I$44, MATCH($A6, 'SSA Quintile Data (10pct)'!$A$2:$A$44, 0)), "n/a")</f>
        <v>58200000</v>
      </c>
      <c r="E6" s="4">
        <f t="shared" si="0"/>
        <v>6.1776061776061778E-2</v>
      </c>
      <c r="F6" s="4">
        <f t="shared" si="1"/>
        <v>0.1891891891891892</v>
      </c>
      <c r="G6" s="4">
        <f t="shared" si="2"/>
        <v>0.74903474903474898</v>
      </c>
      <c r="H6" s="6">
        <v>1E-3</v>
      </c>
      <c r="I6" s="6">
        <v>1.2E-2</v>
      </c>
      <c r="J6" s="6">
        <v>0.98599999999999999</v>
      </c>
      <c r="K6" s="7">
        <f t="shared" si="3"/>
        <v>23.6965250965251</v>
      </c>
    </row>
    <row r="7" spans="1:11" ht="15" customHeight="1" x14ac:dyDescent="0.3">
      <c r="A7" s="2" t="s">
        <v>19</v>
      </c>
      <c r="B7" s="3">
        <f>IFERROR(INDEX('SSA Total Unelectrified'!$D$2:$D$44, MATCH($A7, 'SSA Total Unelectrified'!$A$2:$A$44, 0)), "n/a")</f>
        <v>55000000</v>
      </c>
      <c r="C7" s="3">
        <f>IFERROR(INDEX('SSA Quintile Data (5pct)'!$I$2:$I$44, MATCH($A7, 'SSA Quintile Data (5pct)'!$A$2:$A$44, 0)), "n/a")</f>
        <v>44500000</v>
      </c>
      <c r="D7" s="3">
        <f>IFERROR(INDEX('SSA Quintile Data (10pct)'!$I$2:$I$44, MATCH($A7, 'SSA Quintile Data (10pct)'!$A$2:$A$44, 0)), "n/a")</f>
        <v>22700000</v>
      </c>
      <c r="E7" s="4">
        <f t="shared" si="0"/>
        <v>0.19090909090909092</v>
      </c>
      <c r="F7" s="4">
        <f t="shared" si="1"/>
        <v>0.39636363636363636</v>
      </c>
      <c r="G7" s="4">
        <f t="shared" si="2"/>
        <v>0.41272727272727272</v>
      </c>
      <c r="H7" s="6">
        <v>2.9000000000000001E-2</v>
      </c>
      <c r="I7" s="6">
        <v>0.249</v>
      </c>
      <c r="J7" s="6">
        <v>0.72199999999999998</v>
      </c>
      <c r="K7" s="7">
        <f t="shared" si="3"/>
        <v>30.927272727272726</v>
      </c>
    </row>
    <row r="8" spans="1:11" s="17" customFormat="1" ht="15" customHeight="1" x14ac:dyDescent="0.3">
      <c r="A8" s="12" t="s">
        <v>21</v>
      </c>
      <c r="B8" s="13">
        <f>IFERROR(INDEX('SSA Total Unelectrified'!$D$2:$D$44, MATCH($A8, 'SSA Total Unelectrified'!$A$2:$A$44, 0)), "n/a")</f>
        <v>13000000</v>
      </c>
      <c r="C8" s="13">
        <f>IFERROR(INDEX('SSA Quintile Data (5pct)'!$I$2:$I$44, MATCH($A8, 'SSA Quintile Data (5pct)'!$A$2:$A$44, 0)), "n/a")</f>
        <v>11900000</v>
      </c>
      <c r="D8" s="13">
        <f>IFERROR(INDEX('SSA Quintile Data (10pct)'!$I$2:$I$44, MATCH($A8, 'SSA Quintile Data (10pct)'!$A$2:$A$44, 0)), "n/a")</f>
        <v>9500000</v>
      </c>
      <c r="E8" s="14">
        <f t="shared" si="0"/>
        <v>8.461538461538462E-2</v>
      </c>
      <c r="F8" s="14">
        <f t="shared" si="1"/>
        <v>0.18461538461538463</v>
      </c>
      <c r="G8" s="14">
        <f t="shared" si="2"/>
        <v>0.73076923076923073</v>
      </c>
      <c r="H8" s="15">
        <v>0.14799999999999999</v>
      </c>
      <c r="I8" s="15">
        <v>0.16</v>
      </c>
      <c r="J8" s="15">
        <v>0.69099999999999995</v>
      </c>
      <c r="K8" s="16">
        <f t="shared" si="3"/>
        <v>-3.9769230769230779</v>
      </c>
    </row>
    <row r="9" spans="1:11" ht="15" customHeight="1" x14ac:dyDescent="0.3">
      <c r="A9" s="2" t="s">
        <v>23</v>
      </c>
      <c r="B9" s="3">
        <f>IFERROR(INDEX('SSA Total Unelectrified'!$D$2:$D$44, MATCH($A9, 'SSA Total Unelectrified'!$A$2:$A$44, 0)), "n/a")</f>
        <v>11600000</v>
      </c>
      <c r="C9" s="3">
        <f>IFERROR(INDEX('SSA Quintile Data (5pct)'!$I$2:$I$44, MATCH($A9, 'SSA Quintile Data (5pct)'!$A$2:$A$44, 0)), "n/a")</f>
        <v>11400000</v>
      </c>
      <c r="D9" s="3">
        <f>IFERROR(INDEX('SSA Quintile Data (10pct)'!$I$2:$I$44, MATCH($A9, 'SSA Quintile Data (10pct)'!$A$2:$A$44, 0)), "n/a")</f>
        <v>8500000</v>
      </c>
      <c r="E9" s="4">
        <f t="shared" si="0"/>
        <v>1.7241379310344827E-2</v>
      </c>
      <c r="F9" s="4">
        <f t="shared" si="1"/>
        <v>0.25</v>
      </c>
      <c r="G9" s="4">
        <f t="shared" si="2"/>
        <v>0.73275862068965514</v>
      </c>
      <c r="H9" s="6">
        <v>3.0000000000000001E-3</v>
      </c>
      <c r="I9" s="6">
        <v>3.0000000000000001E-3</v>
      </c>
      <c r="J9" s="6">
        <v>0.995</v>
      </c>
      <c r="K9" s="7">
        <f t="shared" si="3"/>
        <v>26.224137931034484</v>
      </c>
    </row>
    <row r="10" spans="1:11" s="17" customFormat="1" ht="15" customHeight="1" x14ac:dyDescent="0.3">
      <c r="A10" s="12" t="s">
        <v>25</v>
      </c>
      <c r="B10" s="13">
        <f>IFERROR(INDEX('SSA Total Unelectrified'!$D$2:$D$44, MATCH($A10, 'SSA Total Unelectrified'!$A$2:$A$44, 0)), "n/a")</f>
        <v>10400000</v>
      </c>
      <c r="C10" s="13">
        <f>IFERROR(INDEX('SSA Quintile Data (5pct)'!$I$2:$I$44, MATCH($A10, 'SSA Quintile Data (5pct)'!$A$2:$A$44, 0)), "n/a")</f>
        <v>9600000</v>
      </c>
      <c r="D10" s="13">
        <f>IFERROR(INDEX('SSA Quintile Data (10pct)'!$I$2:$I$44, MATCH($A10, 'SSA Quintile Data (10pct)'!$A$2:$A$44, 0)), "n/a")</f>
        <v>7600000</v>
      </c>
      <c r="E10" s="14">
        <f t="shared" si="0"/>
        <v>7.6923076923076927E-2</v>
      </c>
      <c r="F10" s="14">
        <f t="shared" si="1"/>
        <v>0.19230769230769232</v>
      </c>
      <c r="G10" s="14">
        <f t="shared" si="2"/>
        <v>0.73076923076923073</v>
      </c>
      <c r="H10" s="15">
        <v>1E-3</v>
      </c>
      <c r="I10" s="15">
        <v>1.0999999999999999E-2</v>
      </c>
      <c r="J10" s="15">
        <v>0.98799999999999999</v>
      </c>
      <c r="K10" s="16">
        <f t="shared" si="3"/>
        <v>25.723076923076928</v>
      </c>
    </row>
    <row r="11" spans="1:11" ht="15" customHeight="1" x14ac:dyDescent="0.3">
      <c r="A11" s="2" t="s">
        <v>27</v>
      </c>
      <c r="B11" s="3">
        <f>IFERROR(INDEX('SSA Total Unelectrified'!$D$2:$D$44, MATCH($A11, 'SSA Total Unelectrified'!$A$2:$A$44, 0)), "n/a")</f>
        <v>10000000</v>
      </c>
      <c r="C11" s="3">
        <f>IFERROR(INDEX('SSA Quintile Data (5pct)'!$I$2:$I$44, MATCH($A11, 'SSA Quintile Data (5pct)'!$A$2:$A$44, 0)), "n/a")</f>
        <v>9500000</v>
      </c>
      <c r="D11" s="3">
        <f>IFERROR(INDEX('SSA Quintile Data (10pct)'!$I$2:$I$44, MATCH($A11, 'SSA Quintile Data (10pct)'!$A$2:$A$44, 0)), "n/a")</f>
        <v>6900000</v>
      </c>
      <c r="E11" s="4">
        <f t="shared" si="0"/>
        <v>0.05</v>
      </c>
      <c r="F11" s="4">
        <f t="shared" si="1"/>
        <v>0.26</v>
      </c>
      <c r="G11" s="4">
        <f t="shared" si="2"/>
        <v>0.69</v>
      </c>
      <c r="H11" s="8"/>
      <c r="I11" s="8"/>
      <c r="J11" s="8"/>
      <c r="K11" s="7">
        <f t="shared" si="3"/>
        <v>-69</v>
      </c>
    </row>
    <row r="12" spans="1:11" ht="15" customHeight="1" x14ac:dyDescent="0.3">
      <c r="A12" s="2" t="s">
        <v>29</v>
      </c>
      <c r="B12" s="3">
        <f>IFERROR(INDEX('SSA Total Unelectrified'!$D$2:$D$44, MATCH($A12, 'SSA Total Unelectrified'!$A$2:$A$44, 0)), "n/a")</f>
        <v>8100000</v>
      </c>
      <c r="C12" s="3">
        <f>IFERROR(INDEX('SSA Quintile Data (5pct)'!$I$2:$I$44, MATCH($A12, 'SSA Quintile Data (5pct)'!$A$2:$A$44, 0)), "n/a")</f>
        <v>4500000</v>
      </c>
      <c r="D12" s="3">
        <f>IFERROR(INDEX('SSA Quintile Data (10pct)'!$I$2:$I$44, MATCH($A12, 'SSA Quintile Data (10pct)'!$A$2:$A$44, 0)), "n/a")</f>
        <v>2600000</v>
      </c>
      <c r="E12" s="4">
        <f t="shared" si="0"/>
        <v>0.44444444444444442</v>
      </c>
      <c r="F12" s="4">
        <f t="shared" si="1"/>
        <v>0.23456790123456789</v>
      </c>
      <c r="G12" s="4">
        <f t="shared" si="2"/>
        <v>0.32098765432098764</v>
      </c>
      <c r="H12" s="6">
        <v>2.4E-2</v>
      </c>
      <c r="I12" s="6">
        <v>0.19800000000000001</v>
      </c>
      <c r="J12" s="6">
        <v>0.77700000000000002</v>
      </c>
      <c r="K12" s="7">
        <f t="shared" si="3"/>
        <v>45.601234567901237</v>
      </c>
    </row>
    <row r="13" spans="1:11" ht="15" customHeight="1" x14ac:dyDescent="0.3">
      <c r="A13" s="2" t="s">
        <v>31</v>
      </c>
      <c r="B13" s="3">
        <f>IFERROR(INDEX('SSA Total Unelectrified'!$D$2:$D$44, MATCH($A13, 'SSA Total Unelectrified'!$A$2:$A$44, 0)), "n/a")</f>
        <v>8100000</v>
      </c>
      <c r="C13" s="3">
        <f>IFERROR(INDEX('SSA Quintile Data (5pct)'!$I$2:$I$44, MATCH($A13, 'SSA Quintile Data (5pct)'!$A$2:$A$44, 0)), "n/a")</f>
        <v>7200000</v>
      </c>
      <c r="D13" s="3">
        <f>IFERROR(INDEX('SSA Quintile Data (10pct)'!$I$2:$I$44, MATCH($A13, 'SSA Quintile Data (10pct)'!$A$2:$A$44, 0)), "n/a")</f>
        <v>6000000</v>
      </c>
      <c r="E13" s="4">
        <f t="shared" si="0"/>
        <v>0.1111111111111111</v>
      </c>
      <c r="F13" s="4">
        <f t="shared" si="1"/>
        <v>0.14814814814814814</v>
      </c>
      <c r="G13" s="4">
        <f t="shared" si="2"/>
        <v>0.7407407407407407</v>
      </c>
      <c r="H13" s="6">
        <v>0.115</v>
      </c>
      <c r="I13" s="6">
        <v>0.41099999999999998</v>
      </c>
      <c r="J13" s="6">
        <v>0.47499999999999998</v>
      </c>
      <c r="K13" s="7">
        <f t="shared" si="3"/>
        <v>-26.574074074074073</v>
      </c>
    </row>
    <row r="14" spans="1:11" ht="15" customHeight="1" x14ac:dyDescent="0.3">
      <c r="A14" s="2" t="s">
        <v>33</v>
      </c>
      <c r="B14" s="3">
        <f>IFERROR(INDEX('SSA Total Unelectrified'!$D$2:$D$44, MATCH($A14, 'SSA Total Unelectrified'!$A$2:$A$44, 0)), "n/a")</f>
        <v>8300000</v>
      </c>
      <c r="C14" s="3">
        <f>IFERROR(INDEX('SSA Quintile Data (5pct)'!$I$2:$I$44, MATCH($A14, 'SSA Quintile Data (5pct)'!$A$2:$A$44, 0)), "n/a")</f>
        <v>5600000</v>
      </c>
      <c r="D14" s="3">
        <f>IFERROR(INDEX('SSA Quintile Data (10pct)'!$I$2:$I$44, MATCH($A14, 'SSA Quintile Data (10pct)'!$A$2:$A$44, 0)), "n/a")</f>
        <v>2100000</v>
      </c>
      <c r="E14" s="4">
        <f t="shared" si="0"/>
        <v>0.3253012048192771</v>
      </c>
      <c r="F14" s="4">
        <f t="shared" si="1"/>
        <v>0.42168674698795183</v>
      </c>
      <c r="G14" s="4">
        <f t="shared" si="2"/>
        <v>0.25301204819277107</v>
      </c>
      <c r="H14" s="6">
        <v>0.114</v>
      </c>
      <c r="I14" s="6">
        <v>0.623</v>
      </c>
      <c r="J14" s="6">
        <v>0.26300000000000001</v>
      </c>
      <c r="K14" s="7">
        <f t="shared" si="3"/>
        <v>0.99879518072289453</v>
      </c>
    </row>
    <row r="15" spans="1:11" ht="15" customHeight="1" x14ac:dyDescent="0.3">
      <c r="A15" s="2" t="s">
        <v>35</v>
      </c>
      <c r="B15" s="3">
        <f>IFERROR(INDEX('SSA Total Unelectrified'!$D$2:$D$44, MATCH($A15, 'SSA Total Unelectrified'!$A$2:$A$44, 0)), "n/a")</f>
        <v>15600000</v>
      </c>
      <c r="C15" s="3">
        <f>IFERROR(INDEX('SSA Quintile Data (5pct)'!$I$2:$I$44, MATCH($A15, 'SSA Quintile Data (5pct)'!$A$2:$A$44, 0)), "n/a")</f>
        <v>10600000</v>
      </c>
      <c r="D15" s="3">
        <f>IFERROR(INDEX('SSA Quintile Data (10pct)'!$I$2:$I$44, MATCH($A15, 'SSA Quintile Data (10pct)'!$A$2:$A$44, 0)), "n/a")</f>
        <v>4200000</v>
      </c>
      <c r="E15" s="4">
        <f t="shared" si="0"/>
        <v>0.32051282051282054</v>
      </c>
      <c r="F15" s="4">
        <f t="shared" si="1"/>
        <v>0.41025641025641024</v>
      </c>
      <c r="G15" s="4">
        <f t="shared" si="2"/>
        <v>0.26923076923076922</v>
      </c>
      <c r="H15" s="6">
        <v>3.1E-2</v>
      </c>
      <c r="I15" s="6">
        <v>0.192</v>
      </c>
      <c r="J15" s="6">
        <v>0.77800000000000002</v>
      </c>
      <c r="K15" s="7">
        <f t="shared" si="3"/>
        <v>50.876923076923084</v>
      </c>
    </row>
    <row r="16" spans="1:11" ht="15" customHeight="1" x14ac:dyDescent="0.3">
      <c r="A16" s="2" t="s">
        <v>37</v>
      </c>
      <c r="B16" s="3">
        <f>IFERROR(INDEX('SSA Total Unelectrified'!$D$2:$D$44, MATCH($A16, 'SSA Total Unelectrified'!$A$2:$A$44, 0)), "n/a")</f>
        <v>6100000</v>
      </c>
      <c r="C16" s="3">
        <f>IFERROR(INDEX('SSA Quintile Data (5pct)'!$I$2:$I$44, MATCH($A16, 'SSA Quintile Data (5pct)'!$A$2:$A$44, 0)), "n/a")</f>
        <v>4800000</v>
      </c>
      <c r="D16" s="3">
        <f>IFERROR(INDEX('SSA Quintile Data (10pct)'!$I$2:$I$44, MATCH($A16, 'SSA Quintile Data (10pct)'!$A$2:$A$44, 0)), "n/a")</f>
        <v>2200000</v>
      </c>
      <c r="E16" s="4">
        <f t="shared" si="0"/>
        <v>0.21311475409836064</v>
      </c>
      <c r="F16" s="4">
        <f t="shared" si="1"/>
        <v>0.42622950819672129</v>
      </c>
      <c r="G16" s="4">
        <f t="shared" si="2"/>
        <v>0.36065573770491804</v>
      </c>
      <c r="H16" s="6">
        <v>1E-3</v>
      </c>
      <c r="I16" s="6">
        <v>2.9000000000000001E-2</v>
      </c>
      <c r="J16" s="6">
        <v>0.97</v>
      </c>
      <c r="K16" s="7">
        <f t="shared" si="3"/>
        <v>60.934426229508198</v>
      </c>
    </row>
    <row r="17" spans="1:11" ht="15" customHeight="1" x14ac:dyDescent="0.3">
      <c r="A17" s="2" t="s">
        <v>39</v>
      </c>
      <c r="B17" s="3">
        <f>IFERROR(INDEX('SSA Total Unelectrified'!$D$2:$D$44, MATCH($A17, 'SSA Total Unelectrified'!$A$2:$A$44, 0)), "n/a")</f>
        <v>5600000</v>
      </c>
      <c r="C17" s="3">
        <f>IFERROR(INDEX('SSA Quintile Data (5pct)'!$I$2:$I$44, MATCH($A17, 'SSA Quintile Data (5pct)'!$A$2:$A$44, 0)), "n/a")</f>
        <v>4100000</v>
      </c>
      <c r="D17" s="3">
        <f>IFERROR(INDEX('SSA Quintile Data (10pct)'!$I$2:$I$44, MATCH($A17, 'SSA Quintile Data (10pct)'!$A$2:$A$44, 0)), "n/a")</f>
        <v>1700000</v>
      </c>
      <c r="E17" s="4">
        <f t="shared" si="0"/>
        <v>0.26785714285714285</v>
      </c>
      <c r="F17" s="4">
        <f t="shared" si="1"/>
        <v>0.42857142857142855</v>
      </c>
      <c r="G17" s="4">
        <f t="shared" si="2"/>
        <v>0.30357142857142855</v>
      </c>
      <c r="H17" s="6">
        <v>1.4999999999999999E-2</v>
      </c>
      <c r="I17" s="6">
        <v>0.32500000000000001</v>
      </c>
      <c r="J17" s="6">
        <v>0.66</v>
      </c>
      <c r="K17" s="7">
        <f t="shared" si="3"/>
        <v>35.642857142857146</v>
      </c>
    </row>
    <row r="18" spans="1:11" ht="15" customHeight="1" x14ac:dyDescent="0.3">
      <c r="A18" s="2" t="s">
        <v>41</v>
      </c>
      <c r="B18" s="3">
        <f>IFERROR(INDEX('SSA Total Unelectrified'!$D$2:$D$44, MATCH($A18, 'SSA Total Unelectrified'!$A$2:$A$44, 0)), "n/a")</f>
        <v>5000000</v>
      </c>
      <c r="C18" s="3">
        <f>IFERROR(INDEX('SSA Quintile Data (5pct)'!$I$2:$I$44, MATCH($A18, 'SSA Quintile Data (5pct)'!$A$2:$A$44, 0)), "n/a")</f>
        <v>3900000</v>
      </c>
      <c r="D18" s="3">
        <f>IFERROR(INDEX('SSA Quintile Data (10pct)'!$I$2:$I$44, MATCH($A18, 'SSA Quintile Data (10pct)'!$A$2:$A$44, 0)), "n/a")</f>
        <v>3200000</v>
      </c>
      <c r="E18" s="4">
        <f t="shared" si="0"/>
        <v>0.22</v>
      </c>
      <c r="F18" s="4">
        <f t="shared" si="1"/>
        <v>0.14000000000000001</v>
      </c>
      <c r="G18" s="4">
        <f t="shared" si="2"/>
        <v>0.64</v>
      </c>
      <c r="H18" s="6">
        <v>4.7E-2</v>
      </c>
      <c r="I18" s="6">
        <v>0.17799999999999999</v>
      </c>
      <c r="J18" s="6">
        <v>0.77600000000000002</v>
      </c>
      <c r="K18" s="7">
        <f t="shared" si="3"/>
        <v>13.600000000000001</v>
      </c>
    </row>
    <row r="19" spans="1:11" ht="15" customHeight="1" x14ac:dyDescent="0.3">
      <c r="A19" s="2" t="s">
        <v>43</v>
      </c>
      <c r="B19" s="3">
        <f>IFERROR(INDEX('SSA Total Unelectrified'!$D$2:$D$44, MATCH($A19, 'SSA Total Unelectrified'!$A$2:$A$44, 0)), "n/a")</f>
        <v>3800000</v>
      </c>
      <c r="C19" s="3">
        <f>IFERROR(INDEX('SSA Quintile Data (5pct)'!$I$2:$I$44, MATCH($A19, 'SSA Quintile Data (5pct)'!$A$2:$A$44, 0)), "n/a")</f>
        <v>3500000</v>
      </c>
      <c r="D19" s="3">
        <f>IFERROR(INDEX('SSA Quintile Data (10pct)'!$I$2:$I$44, MATCH($A19, 'SSA Quintile Data (10pct)'!$A$2:$A$44, 0)), "n/a")</f>
        <v>2200000</v>
      </c>
      <c r="E19" s="4">
        <f t="shared" si="0"/>
        <v>7.8947368421052627E-2</v>
      </c>
      <c r="F19" s="4">
        <f t="shared" si="1"/>
        <v>0.34210526315789475</v>
      </c>
      <c r="G19" s="4">
        <f t="shared" si="2"/>
        <v>0.57894736842105265</v>
      </c>
      <c r="H19" s="6">
        <v>6.0000000000000001E-3</v>
      </c>
      <c r="I19" s="6">
        <v>0.159</v>
      </c>
      <c r="J19" s="6">
        <v>0.83499999999999996</v>
      </c>
      <c r="K19" s="7">
        <f t="shared" si="3"/>
        <v>25.605263157894733</v>
      </c>
    </row>
    <row r="20" spans="1:11" ht="15" customHeight="1" x14ac:dyDescent="0.3">
      <c r="A20" s="2" t="s">
        <v>45</v>
      </c>
      <c r="B20" s="3">
        <f>IFERROR(INDEX('SSA Total Unelectrified'!$D$2:$D$44, MATCH($A20, 'SSA Total Unelectrified'!$A$2:$A$44, 0)), "n/a")</f>
        <v>3600000</v>
      </c>
      <c r="C20" s="3">
        <f>IFERROR(INDEX('SSA Quintile Data (5pct)'!$I$2:$I$44, MATCH($A20, 'SSA Quintile Data (5pct)'!$A$2:$A$44, 0)), "n/a")</f>
        <v>2800000</v>
      </c>
      <c r="D20" s="3">
        <f>IFERROR(INDEX('SSA Quintile Data (10pct)'!$I$2:$I$44, MATCH($A20, 'SSA Quintile Data (10pct)'!$A$2:$A$44, 0)), "n/a")</f>
        <v>1300000</v>
      </c>
      <c r="E20" s="4">
        <f t="shared" si="0"/>
        <v>0.22222222222222221</v>
      </c>
      <c r="F20" s="4">
        <f t="shared" si="1"/>
        <v>0.41666666666666669</v>
      </c>
      <c r="G20" s="4">
        <f t="shared" si="2"/>
        <v>0.3611111111111111</v>
      </c>
      <c r="H20" s="6">
        <v>0</v>
      </c>
      <c r="I20" s="6">
        <v>1.7000000000000001E-2</v>
      </c>
      <c r="J20" s="6">
        <v>0.98299999999999998</v>
      </c>
      <c r="K20" s="7">
        <f t="shared" si="3"/>
        <v>62.188888888888897</v>
      </c>
    </row>
    <row r="21" spans="1:11" ht="15" customHeight="1" x14ac:dyDescent="0.3">
      <c r="A21" s="2" t="s">
        <v>47</v>
      </c>
      <c r="B21" s="3">
        <f>IFERROR(INDEX('SSA Total Unelectrified'!$D$2:$D$44, MATCH($A21, 'SSA Total Unelectrified'!$A$2:$A$44, 0)), "n/a")</f>
        <v>2400000</v>
      </c>
      <c r="C21" s="3">
        <f>IFERROR(INDEX('SSA Quintile Data (5pct)'!$I$2:$I$44, MATCH($A21, 'SSA Quintile Data (5pct)'!$A$2:$A$44, 0)), "n/a")</f>
        <v>1300000</v>
      </c>
      <c r="D21" s="3">
        <f>IFERROR(INDEX('SSA Quintile Data (10pct)'!$I$2:$I$44, MATCH($A21, 'SSA Quintile Data (10pct)'!$A$2:$A$44, 0)), "n/a")</f>
        <v>412500</v>
      </c>
      <c r="E21" s="4">
        <f t="shared" si="0"/>
        <v>0.45833333333333331</v>
      </c>
      <c r="F21" s="4">
        <f t="shared" si="1"/>
        <v>0.36979166666666669</v>
      </c>
      <c r="G21" s="4">
        <f t="shared" si="2"/>
        <v>0.171875</v>
      </c>
      <c r="H21" s="6">
        <v>6.0999999999999999E-2</v>
      </c>
      <c r="I21" s="6">
        <v>0.59699999999999998</v>
      </c>
      <c r="J21" s="6">
        <v>0.34200000000000003</v>
      </c>
      <c r="K21" s="7">
        <f t="shared" si="3"/>
        <v>17.012500000000003</v>
      </c>
    </row>
    <row r="22" spans="1:11" ht="15" customHeight="1" x14ac:dyDescent="0.3">
      <c r="A22" s="2" t="s">
        <v>49</v>
      </c>
      <c r="B22" s="3">
        <f>IFERROR(INDEX('SSA Total Unelectrified'!$D$2:$D$44, MATCH($A22, 'SSA Total Unelectrified'!$A$2:$A$44, 0)), "n/a")</f>
        <v>5800000</v>
      </c>
      <c r="C22" s="3">
        <f>IFERROR(INDEX('SSA Quintile Data (5pct)'!$I$2:$I$44, MATCH($A22, 'SSA Quintile Data (5pct)'!$A$2:$A$44, 0)), "n/a")</f>
        <v>4000000</v>
      </c>
      <c r="D22" s="3">
        <f>IFERROR(INDEX('SSA Quintile Data (10pct)'!$I$2:$I$44, MATCH($A22, 'SSA Quintile Data (10pct)'!$A$2:$A$44, 0)), "n/a")</f>
        <v>2000000</v>
      </c>
      <c r="E22" s="4">
        <f t="shared" si="0"/>
        <v>0.31034482758620691</v>
      </c>
      <c r="F22" s="4">
        <f t="shared" si="1"/>
        <v>0.34482758620689657</v>
      </c>
      <c r="G22" s="4">
        <f t="shared" si="2"/>
        <v>0.34482758620689657</v>
      </c>
      <c r="H22" s="6">
        <v>1.9E-2</v>
      </c>
      <c r="I22" s="6">
        <v>0.30399999999999999</v>
      </c>
      <c r="J22" s="6">
        <v>0.67700000000000005</v>
      </c>
      <c r="K22" s="7">
        <f t="shared" si="3"/>
        <v>33.217241379310344</v>
      </c>
    </row>
    <row r="23" spans="1:11" ht="15" customHeight="1" x14ac:dyDescent="0.3">
      <c r="A23" s="2" t="s">
        <v>51</v>
      </c>
      <c r="B23" s="3">
        <f>IFERROR(INDEX('SSA Total Unelectrified'!$D$2:$D$44, MATCH($A23, 'SSA Total Unelectrified'!$A$2:$A$44, 0)), "n/a")</f>
        <v>6800000</v>
      </c>
      <c r="C23" s="3">
        <f>IFERROR(INDEX('SSA Quintile Data (5pct)'!$I$2:$I$44, MATCH($A23, 'SSA Quintile Data (5pct)'!$A$2:$A$44, 0)), "n/a")</f>
        <v>6300000</v>
      </c>
      <c r="D23" s="3">
        <f>IFERROR(INDEX('SSA Quintile Data (10pct)'!$I$2:$I$44, MATCH($A23, 'SSA Quintile Data (10pct)'!$A$2:$A$44, 0)), "n/a")</f>
        <v>4800000</v>
      </c>
      <c r="E23" s="4">
        <f t="shared" si="0"/>
        <v>7.3529411764705885E-2</v>
      </c>
      <c r="F23" s="4">
        <f t="shared" si="1"/>
        <v>0.22058823529411764</v>
      </c>
      <c r="G23" s="4">
        <f t="shared" si="2"/>
        <v>0.70588235294117652</v>
      </c>
      <c r="H23" s="6">
        <v>3.2000000000000001E-2</v>
      </c>
      <c r="I23" s="6">
        <v>0.129</v>
      </c>
      <c r="J23" s="6">
        <v>0.84</v>
      </c>
      <c r="K23" s="7">
        <f t="shared" si="3"/>
        <v>13.411764705882344</v>
      </c>
    </row>
    <row r="24" spans="1:11" ht="15" customHeight="1" x14ac:dyDescent="0.3">
      <c r="A24" s="2" t="s">
        <v>53</v>
      </c>
      <c r="B24" s="3">
        <f>IFERROR(INDEX('SSA Total Unelectrified'!$D$2:$D$44, MATCH($A24, 'SSA Total Unelectrified'!$A$2:$A$44, 0)), "n/a")</f>
        <v>8100000</v>
      </c>
      <c r="C24" s="3">
        <f>IFERROR(INDEX('SSA Quintile Data (5pct)'!$I$2:$I$44, MATCH($A24, 'SSA Quintile Data (5pct)'!$A$2:$A$44, 0)), "n/a")</f>
        <v>2300000</v>
      </c>
      <c r="D24" s="3">
        <f>IFERROR(INDEX('SSA Quintile Data (10pct)'!$I$2:$I$44, MATCH($A24, 'SSA Quintile Data (10pct)'!$A$2:$A$44, 0)), "n/a")</f>
        <v>789300</v>
      </c>
      <c r="E24" s="4">
        <f t="shared" si="0"/>
        <v>0.71604938271604934</v>
      </c>
      <c r="F24" s="4">
        <f t="shared" si="1"/>
        <v>0.18650617283950618</v>
      </c>
      <c r="G24" s="4">
        <f t="shared" si="2"/>
        <v>9.7444444444444445E-2</v>
      </c>
      <c r="H24" s="6">
        <v>7.0000000000000007E-2</v>
      </c>
      <c r="I24" s="6">
        <v>0.122</v>
      </c>
      <c r="J24" s="6">
        <v>0.80800000000000005</v>
      </c>
      <c r="K24" s="7">
        <f t="shared" si="3"/>
        <v>71.055555555555557</v>
      </c>
    </row>
    <row r="25" spans="1:11" ht="15" customHeight="1" x14ac:dyDescent="0.3">
      <c r="A25" s="2" t="s">
        <v>55</v>
      </c>
      <c r="B25" s="3">
        <f>IFERROR(INDEX('SSA Total Unelectrified'!$D$2:$D$44, MATCH($A25, 'SSA Total Unelectrified'!$A$2:$A$44, 0)), "n/a")</f>
        <v>632900</v>
      </c>
      <c r="C25" s="3">
        <f>IFERROR(INDEX('SSA Quintile Data (5pct)'!$I$2:$I$44, MATCH($A25, 'SSA Quintile Data (5pct)'!$A$2:$A$44, 0)), "n/a")</f>
        <v>379500</v>
      </c>
      <c r="D25" s="3">
        <f>IFERROR(INDEX('SSA Quintile Data (10pct)'!$I$2:$I$44, MATCH($A25, 'SSA Quintile Data (10pct)'!$A$2:$A$44, 0)), "n/a")</f>
        <v>127000</v>
      </c>
      <c r="E25" s="4">
        <f t="shared" si="0"/>
        <v>0.40037920682572287</v>
      </c>
      <c r="F25" s="4">
        <f t="shared" si="1"/>
        <v>0.3989571812292621</v>
      </c>
      <c r="G25" s="4">
        <f t="shared" si="2"/>
        <v>0.200663611945015</v>
      </c>
      <c r="H25" s="6">
        <v>0.20300000000000001</v>
      </c>
      <c r="I25" s="6">
        <v>0.55800000000000005</v>
      </c>
      <c r="J25" s="6">
        <v>0.23899999999999999</v>
      </c>
      <c r="K25" s="7">
        <f t="shared" si="3"/>
        <v>3.8336388054984987</v>
      </c>
    </row>
    <row r="26" spans="1:11" ht="15" customHeight="1" x14ac:dyDescent="0.3">
      <c r="A26" s="2" t="s">
        <v>57</v>
      </c>
      <c r="B26" s="3">
        <f>IFERROR(INDEX('SSA Total Unelectrified'!$D$2:$D$44, MATCH($A26, 'SSA Total Unelectrified'!$A$2:$A$44, 0)), "n/a")</f>
        <v>389800</v>
      </c>
      <c r="C26" s="3">
        <f>IFERROR(INDEX('SSA Quintile Data (5pct)'!$I$2:$I$44, MATCH($A26, 'SSA Quintile Data (5pct)'!$A$2:$A$44, 0)), "n/a")</f>
        <v>303600</v>
      </c>
      <c r="D26" s="3">
        <f>IFERROR(INDEX('SSA Quintile Data (10pct)'!$I$2:$I$44, MATCH($A26, 'SSA Quintile Data (10pct)'!$A$2:$A$44, 0)), "n/a")</f>
        <v>194200</v>
      </c>
      <c r="E26" s="4">
        <f t="shared" si="0"/>
        <v>0.22113904566444331</v>
      </c>
      <c r="F26" s="4">
        <f t="shared" si="1"/>
        <v>0.28065674704976912</v>
      </c>
      <c r="G26" s="4">
        <f t="shared" si="2"/>
        <v>0.49820420728578757</v>
      </c>
      <c r="H26" s="6">
        <v>0.627</v>
      </c>
      <c r="I26" s="6">
        <v>0.3</v>
      </c>
      <c r="J26" s="6">
        <v>7.2999999999999995E-2</v>
      </c>
      <c r="K26" s="7">
        <f t="shared" si="3"/>
        <v>-42.520420728578756</v>
      </c>
    </row>
    <row r="27" spans="1:11" ht="15" customHeight="1" x14ac:dyDescent="0.3">
      <c r="A27" s="2" t="s">
        <v>59</v>
      </c>
      <c r="B27" s="3">
        <f>IFERROR(INDEX('SSA Total Unelectrified'!$D$2:$D$44, MATCH($A27, 'SSA Total Unelectrified'!$A$2:$A$44, 0)), "n/a")</f>
        <v>155400</v>
      </c>
      <c r="C27" s="3">
        <f>IFERROR(INDEX('SSA Quintile Data (5pct)'!$I$2:$I$44, MATCH($A27, 'SSA Quintile Data (5pct)'!$A$2:$A$44, 0)), "n/a")</f>
        <v>47200</v>
      </c>
      <c r="D27" s="3">
        <f>IFERROR(INDEX('SSA Quintile Data (10pct)'!$I$2:$I$44, MATCH($A27, 'SSA Quintile Data (10pct)'!$A$2:$A$44, 0)), "n/a")</f>
        <v>0</v>
      </c>
      <c r="E27" s="4">
        <f t="shared" si="0"/>
        <v>0.69626769626769625</v>
      </c>
      <c r="F27" s="4">
        <f t="shared" si="1"/>
        <v>0.30373230373230375</v>
      </c>
      <c r="G27" s="4">
        <f t="shared" si="2"/>
        <v>0</v>
      </c>
      <c r="H27" s="6">
        <v>0.81699999999999995</v>
      </c>
      <c r="I27" s="6">
        <v>0.183</v>
      </c>
      <c r="J27" s="6">
        <v>0</v>
      </c>
      <c r="K27" s="7">
        <f t="shared" si="3"/>
        <v>0</v>
      </c>
    </row>
    <row r="28" spans="1:11" ht="15" customHeight="1" x14ac:dyDescent="0.3">
      <c r="A28" s="2" t="s">
        <v>61</v>
      </c>
      <c r="B28" s="3">
        <f>IFERROR(INDEX('SSA Total Unelectrified'!$D$2:$D$44, MATCH($A28, 'SSA Total Unelectrified'!$A$2:$A$44, 0)), "n/a")</f>
        <v>84400</v>
      </c>
      <c r="C28" s="3">
        <f>IFERROR(INDEX('SSA Quintile Data (5pct)'!$I$2:$I$44, MATCH($A28, 'SSA Quintile Data (5pct)'!$A$2:$A$44, 0)), "n/a")</f>
        <v>69000</v>
      </c>
      <c r="D28" s="3">
        <f>IFERROR(INDEX('SSA Quintile Data (10pct)'!$I$2:$I$44, MATCH($A28, 'SSA Quintile Data (10pct)'!$A$2:$A$44, 0)), "n/a")</f>
        <v>29300</v>
      </c>
      <c r="E28" s="4">
        <f t="shared" si="0"/>
        <v>0.18246445497630331</v>
      </c>
      <c r="F28" s="4">
        <f t="shared" si="1"/>
        <v>0.47037914691943128</v>
      </c>
      <c r="G28" s="4">
        <f t="shared" si="2"/>
        <v>0.34715639810426541</v>
      </c>
      <c r="H28" s="6">
        <v>0.115</v>
      </c>
      <c r="I28" s="6">
        <v>0.34499999999999997</v>
      </c>
      <c r="J28" s="6">
        <v>0.54</v>
      </c>
      <c r="K28" s="7">
        <f t="shared" si="3"/>
        <v>19.284360189573462</v>
      </c>
    </row>
    <row r="29" spans="1:11" ht="15" customHeight="1" x14ac:dyDescent="0.3">
      <c r="A29" s="2" t="s">
        <v>63</v>
      </c>
      <c r="B29" s="3">
        <f>IFERROR(INDEX('SSA Total Unelectrified'!$D$2:$D$44, MATCH($A29, 'SSA Total Unelectrified'!$A$2:$A$44, 0)), "n/a")</f>
        <v>49100</v>
      </c>
      <c r="C29" s="3">
        <f>IFERROR(INDEX('SSA Quintile Data (5pct)'!$I$2:$I$44, MATCH($A29, 'SSA Quintile Data (5pct)'!$A$2:$A$44, 0)), "n/a")</f>
        <v>24500</v>
      </c>
      <c r="D29" s="3">
        <f>IFERROR(INDEX('SSA Quintile Data (10pct)'!$I$2:$I$44, MATCH($A29, 'SSA Quintile Data (10pct)'!$A$2:$A$44, 0)), "n/a")</f>
        <v>11600</v>
      </c>
      <c r="E29" s="4">
        <f t="shared" si="0"/>
        <v>0.50101832993890016</v>
      </c>
      <c r="F29" s="4">
        <f t="shared" si="1"/>
        <v>0.26272912423625255</v>
      </c>
      <c r="G29" s="4">
        <f t="shared" si="2"/>
        <v>0.23625254582484725</v>
      </c>
      <c r="H29" s="6">
        <v>0.48499999999999999</v>
      </c>
      <c r="I29" s="6">
        <v>0.376</v>
      </c>
      <c r="J29" s="6">
        <v>0.13800000000000001</v>
      </c>
      <c r="K29" s="7">
        <f t="shared" si="3"/>
        <v>-9.8252545824847246</v>
      </c>
    </row>
    <row r="30" spans="1:11" ht="15" customHeight="1" x14ac:dyDescent="0.3">
      <c r="A30" s="2" t="s">
        <v>65</v>
      </c>
      <c r="B30" s="3">
        <f>IFERROR(INDEX('SSA Total Unelectrified'!$D$2:$D$44, MATCH($A30, 'SSA Total Unelectrified'!$A$2:$A$44, 0)), "n/a")</f>
        <v>1100000</v>
      </c>
      <c r="C30" s="3">
        <f>IFERROR(INDEX('SSA Quintile Data (5pct)'!$I$2:$I$44, MATCH($A30, 'SSA Quintile Data (5pct)'!$A$2:$A$44, 0)), "n/a")</f>
        <v>507700</v>
      </c>
      <c r="D30" s="3">
        <f>IFERROR(INDEX('SSA Quintile Data (10pct)'!$I$2:$I$44, MATCH($A30, 'SSA Quintile Data (10pct)'!$A$2:$A$44, 0)), "n/a")</f>
        <v>256900</v>
      </c>
      <c r="E30" s="4">
        <f t="shared" si="0"/>
        <v>0.53845454545454541</v>
      </c>
      <c r="F30" s="4">
        <f t="shared" si="1"/>
        <v>0.22800000000000001</v>
      </c>
      <c r="G30" s="4">
        <f t="shared" si="2"/>
        <v>0.23354545454545456</v>
      </c>
      <c r="H30" s="6">
        <v>4.4999999999999998E-2</v>
      </c>
      <c r="I30" s="6">
        <v>5.1999999999999998E-2</v>
      </c>
      <c r="J30" s="6">
        <v>0.90300000000000002</v>
      </c>
      <c r="K30" s="7">
        <f t="shared" si="3"/>
        <v>66.945454545454552</v>
      </c>
    </row>
    <row r="31" spans="1:11" ht="15" customHeight="1" x14ac:dyDescent="0.3">
      <c r="A31" s="2" t="s">
        <v>67</v>
      </c>
      <c r="B31" s="3">
        <f>IFERROR(INDEX('SSA Total Unelectrified'!$D$2:$D$44, MATCH($A31, 'SSA Total Unelectrified'!$A$2:$A$44, 0)), "n/a")</f>
        <v>937400</v>
      </c>
      <c r="C31" s="3">
        <f>IFERROR(INDEX('SSA Quintile Data (5pct)'!$I$2:$I$44, MATCH($A31, 'SSA Quintile Data (5pct)'!$A$2:$A$44, 0)), "n/a")</f>
        <v>704300</v>
      </c>
      <c r="D31" s="3">
        <f>IFERROR(INDEX('SSA Quintile Data (10pct)'!$I$2:$I$44, MATCH($A31, 'SSA Quintile Data (10pct)'!$A$2:$A$44, 0)), "n/a")</f>
        <v>308500</v>
      </c>
      <c r="E31" s="4">
        <f t="shared" si="0"/>
        <v>0.24866652442927245</v>
      </c>
      <c r="F31" s="4">
        <f t="shared" si="1"/>
        <v>0.42223170471516963</v>
      </c>
      <c r="G31" s="4">
        <f t="shared" si="2"/>
        <v>0.32910177085555792</v>
      </c>
      <c r="H31" s="6">
        <v>0</v>
      </c>
      <c r="I31" s="6">
        <v>2.5999999999999999E-2</v>
      </c>
      <c r="J31" s="6">
        <v>0.97399999999999998</v>
      </c>
      <c r="K31" s="7">
        <f t="shared" si="3"/>
        <v>64.489822914444204</v>
      </c>
    </row>
    <row r="32" spans="1:11" ht="15" customHeight="1" x14ac:dyDescent="0.3">
      <c r="A32" s="2" t="s">
        <v>69</v>
      </c>
      <c r="B32" s="3">
        <f>IFERROR(INDEX('SSA Total Unelectrified'!$D$2:$D$44, MATCH($A32, 'SSA Total Unelectrified'!$A$2:$A$44, 0)), "n/a")</f>
        <v>1100000</v>
      </c>
      <c r="C32" s="3">
        <f>IFERROR(INDEX('SSA Quintile Data (5pct)'!$I$2:$I$44, MATCH($A32, 'SSA Quintile Data (5pct)'!$A$2:$A$44, 0)), "n/a")</f>
        <v>936300</v>
      </c>
      <c r="D32" s="3">
        <f>IFERROR(INDEX('SSA Quintile Data (10pct)'!$I$2:$I$44, MATCH($A32, 'SSA Quintile Data (10pct)'!$A$2:$A$44, 0)), "n/a")</f>
        <v>491000</v>
      </c>
      <c r="E32" s="4">
        <f t="shared" si="0"/>
        <v>0.14881818181818182</v>
      </c>
      <c r="F32" s="4">
        <f t="shared" si="1"/>
        <v>0.4048181818181818</v>
      </c>
      <c r="G32" s="4">
        <f t="shared" si="2"/>
        <v>0.44636363636363635</v>
      </c>
      <c r="H32" s="6">
        <v>2E-3</v>
      </c>
      <c r="I32" s="6">
        <v>0.125</v>
      </c>
      <c r="J32" s="6">
        <v>0.873</v>
      </c>
      <c r="K32" s="7">
        <f t="shared" si="3"/>
        <v>42.663636363636364</v>
      </c>
    </row>
    <row r="33" spans="1:11" ht="15" customHeight="1" x14ac:dyDescent="0.3">
      <c r="A33" s="2" t="s">
        <v>71</v>
      </c>
      <c r="B33" s="3">
        <f>IFERROR(INDEX('SSA Total Unelectrified'!$D$2:$D$44, MATCH($A33, 'SSA Total Unelectrified'!$A$2:$A$44, 0)), "n/a")</f>
        <v>86300000</v>
      </c>
      <c r="C33" s="3">
        <f>IFERROR(INDEX('SSA Quintile Data (5pct)'!$I$2:$I$44, MATCH($A33, 'SSA Quintile Data (5pct)'!$A$2:$A$44, 0)), "n/a")</f>
        <v>74800000</v>
      </c>
      <c r="D33" s="3">
        <f>IFERROR(INDEX('SSA Quintile Data (10pct)'!$I$2:$I$44, MATCH($A33, 'SSA Quintile Data (10pct)'!$A$2:$A$44, 0)), "n/a")</f>
        <v>44700000</v>
      </c>
      <c r="E33" s="4">
        <f t="shared" si="0"/>
        <v>0.1332560834298957</v>
      </c>
      <c r="F33" s="4">
        <f t="shared" si="1"/>
        <v>0.34878331402085749</v>
      </c>
      <c r="G33" s="4">
        <f t="shared" si="2"/>
        <v>0.51796060254924681</v>
      </c>
      <c r="H33" s="6">
        <v>1.4999999999999999E-2</v>
      </c>
      <c r="I33" s="6">
        <v>0.151</v>
      </c>
      <c r="J33" s="6">
        <v>0.83399999999999996</v>
      </c>
      <c r="K33" s="7">
        <f t="shared" si="3"/>
        <v>31.603939745075316</v>
      </c>
    </row>
    <row r="34" spans="1:11" ht="15" customHeight="1" x14ac:dyDescent="0.3">
      <c r="A34" s="2" t="s">
        <v>73</v>
      </c>
      <c r="B34" s="3">
        <f>IFERROR(INDEX('SSA Total Unelectrified'!$D$2:$D$44, MATCH($A34, 'SSA Total Unelectrified'!$A$2:$A$44, 0)), "n/a")</f>
        <v>35500000</v>
      </c>
      <c r="C34" s="3">
        <f>IFERROR(INDEX('SSA Quintile Data (5pct)'!$I$2:$I$44, MATCH($A34, 'SSA Quintile Data (5pct)'!$A$2:$A$44, 0)), "n/a")</f>
        <v>27500000</v>
      </c>
      <c r="D34" s="3">
        <f>IFERROR(INDEX('SSA Quintile Data (10pct)'!$I$2:$I$44, MATCH($A34, 'SSA Quintile Data (10pct)'!$A$2:$A$44, 0)), "n/a")</f>
        <v>20100000</v>
      </c>
      <c r="E34" s="4">
        <f t="shared" si="0"/>
        <v>0.22535211267605634</v>
      </c>
      <c r="F34" s="4">
        <f t="shared" si="1"/>
        <v>0.20845070422535211</v>
      </c>
      <c r="G34" s="4">
        <f t="shared" si="2"/>
        <v>0.56619718309859157</v>
      </c>
      <c r="H34" s="6">
        <v>2.8000000000000001E-2</v>
      </c>
      <c r="I34" s="6">
        <v>0.104</v>
      </c>
      <c r="J34" s="6">
        <v>0.86799999999999999</v>
      </c>
      <c r="K34" s="7">
        <f t="shared" si="3"/>
        <v>30.180281690140841</v>
      </c>
    </row>
    <row r="35" spans="1:11" ht="15" customHeight="1" x14ac:dyDescent="0.3">
      <c r="A35" s="2" t="s">
        <v>75</v>
      </c>
      <c r="B35" s="3">
        <f>IFERROR(INDEX('SSA Total Unelectrified'!$D$2:$D$44, MATCH($A35, 'SSA Total Unelectrified'!$A$2:$A$44, 0)), "n/a")</f>
        <v>7200000</v>
      </c>
      <c r="C35" s="3">
        <f>IFERROR(INDEX('SSA Quintile Data (5pct)'!$I$2:$I$44, MATCH($A35, 'SSA Quintile Data (5pct)'!$A$2:$A$44, 0)), "n/a")</f>
        <v>6100000</v>
      </c>
      <c r="D35" s="3">
        <f>IFERROR(INDEX('SSA Quintile Data (10pct)'!$I$2:$I$44, MATCH($A35, 'SSA Quintile Data (10pct)'!$A$2:$A$44, 0)), "n/a")</f>
        <v>1600000</v>
      </c>
      <c r="E35" s="4">
        <f t="shared" si="0"/>
        <v>0.15277777777777779</v>
      </c>
      <c r="F35" s="4">
        <f t="shared" si="1"/>
        <v>0.625</v>
      </c>
      <c r="G35" s="4">
        <f t="shared" si="2"/>
        <v>0.22222222222222221</v>
      </c>
      <c r="H35" s="6">
        <v>4.3999999999999997E-2</v>
      </c>
      <c r="I35" s="6">
        <v>0.60799999999999998</v>
      </c>
      <c r="J35" s="6">
        <v>0.34699999999999998</v>
      </c>
      <c r="K35" s="7">
        <f t="shared" si="3"/>
        <v>12.477777777777776</v>
      </c>
    </row>
    <row r="36" spans="1:11" ht="15" customHeight="1" x14ac:dyDescent="0.3">
      <c r="A36" s="2" t="s">
        <v>77</v>
      </c>
      <c r="B36" s="3">
        <f>IFERROR(INDEX('SSA Total Unelectrified'!$D$2:$D$44, MATCH($A36, 'SSA Total Unelectrified'!$A$2:$A$44, 0)), "n/a")</f>
        <v>17200000</v>
      </c>
      <c r="C36" s="3">
        <f>IFERROR(INDEX('SSA Quintile Data (5pct)'!$I$2:$I$44, MATCH($A36, 'SSA Quintile Data (5pct)'!$A$2:$A$44, 0)), "n/a")</f>
        <v>13800000</v>
      </c>
      <c r="D36" s="3">
        <f>IFERROR(INDEX('SSA Quintile Data (10pct)'!$I$2:$I$44, MATCH($A36, 'SSA Quintile Data (10pct)'!$A$2:$A$44, 0)), "n/a")</f>
        <v>3900000</v>
      </c>
      <c r="E36" s="4">
        <f t="shared" si="0"/>
        <v>0.19767441860465115</v>
      </c>
      <c r="F36" s="4">
        <f t="shared" si="1"/>
        <v>0.57558139534883723</v>
      </c>
      <c r="G36" s="4">
        <f t="shared" si="2"/>
        <v>0.22674418604651161</v>
      </c>
      <c r="H36" s="8"/>
      <c r="I36" s="8"/>
      <c r="J36" s="8"/>
      <c r="K36" s="7">
        <f t="shared" si="3"/>
        <v>-22.674418604651162</v>
      </c>
    </row>
    <row r="37" spans="1:11" ht="15" customHeight="1" x14ac:dyDescent="0.3">
      <c r="A37" s="2" t="s">
        <v>79</v>
      </c>
      <c r="B37" s="3">
        <f>IFERROR(INDEX('SSA Total Unelectrified'!$D$2:$D$44, MATCH($A37, 'SSA Total Unelectrified'!$A$2:$A$44, 0)), "n/a")</f>
        <v>4700000</v>
      </c>
      <c r="C37" s="3">
        <f>IFERROR(INDEX('SSA Quintile Data (5pct)'!$I$2:$I$44, MATCH($A37, 'SSA Quintile Data (5pct)'!$A$2:$A$44, 0)), "n/a")</f>
        <v>3500000</v>
      </c>
      <c r="D37" s="3">
        <f>IFERROR(INDEX('SSA Quintile Data (10pct)'!$I$2:$I$44, MATCH($A37, 'SSA Quintile Data (10pct)'!$A$2:$A$44, 0)), "n/a")</f>
        <v>3200000</v>
      </c>
      <c r="E37" s="4">
        <f t="shared" si="0"/>
        <v>0.25531914893617019</v>
      </c>
      <c r="F37" s="4">
        <f t="shared" si="1"/>
        <v>6.3829787234042548E-2</v>
      </c>
      <c r="G37" s="4">
        <f t="shared" si="2"/>
        <v>0.68085106382978722</v>
      </c>
      <c r="H37" s="6">
        <v>1E-3</v>
      </c>
      <c r="I37" s="6">
        <v>3.0000000000000001E-3</v>
      </c>
      <c r="J37" s="6">
        <v>0.996</v>
      </c>
      <c r="K37" s="7">
        <f t="shared" si="3"/>
        <v>31.514893617021279</v>
      </c>
    </row>
    <row r="38" spans="1:11" ht="15" customHeight="1" x14ac:dyDescent="0.3">
      <c r="A38" s="2" t="s">
        <v>80</v>
      </c>
      <c r="B38" s="3">
        <f>IFERROR(INDEX('SSA Total Unelectrified'!$D$2:$D$44, MATCH($A38, 'SSA Total Unelectrified'!$A$2:$A$44, 0)), "n/a")</f>
        <v>25000000</v>
      </c>
      <c r="C38" s="3">
        <f>IFERROR(INDEX('SSA Quintile Data (5pct)'!$I$2:$I$44, MATCH($A38, 'SSA Quintile Data (5pct)'!$A$2:$A$44, 0)), "n/a")</f>
        <v>22100000</v>
      </c>
      <c r="D38" s="3">
        <f>IFERROR(INDEX('SSA Quintile Data (10pct)'!$I$2:$I$44, MATCH($A38, 'SSA Quintile Data (10pct)'!$A$2:$A$44, 0)), "n/a")</f>
        <v>17100000</v>
      </c>
      <c r="E38" s="4">
        <f t="shared" si="0"/>
        <v>0.11600000000000001</v>
      </c>
      <c r="F38" s="4">
        <f t="shared" si="1"/>
        <v>0.2</v>
      </c>
      <c r="G38" s="4">
        <f t="shared" si="2"/>
        <v>0.68400000000000005</v>
      </c>
      <c r="H38" s="6">
        <v>5.0000000000000001E-3</v>
      </c>
      <c r="I38" s="6">
        <v>0.14199999999999999</v>
      </c>
      <c r="J38" s="6">
        <v>0.85299999999999998</v>
      </c>
      <c r="K38" s="7">
        <f t="shared" si="3"/>
        <v>16.899999999999991</v>
      </c>
    </row>
    <row r="39" spans="1:11" ht="15" customHeight="1" x14ac:dyDescent="0.3">
      <c r="A39" s="2" t="s">
        <v>82</v>
      </c>
      <c r="B39" s="3">
        <f>IFERROR(INDEX('SSA Total Unelectrified'!$D$2:$D$44, MATCH($A39, 'SSA Total Unelectrified'!$A$2:$A$44, 0)), "n/a")</f>
        <v>17600000</v>
      </c>
      <c r="C39" s="3">
        <f>IFERROR(INDEX('SSA Quintile Data (5pct)'!$I$2:$I$44, MATCH($A39, 'SSA Quintile Data (5pct)'!$A$2:$A$44, 0)), "n/a")</f>
        <v>17100000</v>
      </c>
      <c r="D39" s="3">
        <f>IFERROR(INDEX('SSA Quintile Data (10pct)'!$I$2:$I$44, MATCH($A39, 'SSA Quintile Data (10pct)'!$A$2:$A$44, 0)), "n/a")</f>
        <v>13200000</v>
      </c>
      <c r="E39" s="4">
        <f t="shared" si="0"/>
        <v>2.8409090909090908E-2</v>
      </c>
      <c r="F39" s="4">
        <f t="shared" si="1"/>
        <v>0.22159090909090909</v>
      </c>
      <c r="G39" s="4">
        <f t="shared" si="2"/>
        <v>0.75</v>
      </c>
      <c r="H39" s="6">
        <v>8.0000000000000002E-3</v>
      </c>
      <c r="I39" s="6">
        <v>3.5999999999999997E-2</v>
      </c>
      <c r="J39" s="6">
        <v>0.95599999999999996</v>
      </c>
      <c r="K39" s="7">
        <f t="shared" si="3"/>
        <v>20.599999999999994</v>
      </c>
    </row>
    <row r="40" spans="1:11" ht="15" customHeight="1" x14ac:dyDescent="0.3">
      <c r="A40" s="2" t="s">
        <v>83</v>
      </c>
      <c r="B40" s="3">
        <f>IFERROR(INDEX('SSA Total Unelectrified'!$D$2:$D$44, MATCH($A40, 'SSA Total Unelectrified'!$A$2:$A$44, 0)), "n/a")</f>
        <v>3000000</v>
      </c>
      <c r="C40" s="3">
        <f>IFERROR(INDEX('SSA Quintile Data (5pct)'!$I$2:$I$44, MATCH($A40, 'SSA Quintile Data (5pct)'!$A$2:$A$44, 0)), "n/a")</f>
        <v>2100000</v>
      </c>
      <c r="D40" s="3">
        <f>IFERROR(INDEX('SSA Quintile Data (10pct)'!$I$2:$I$44, MATCH($A40, 'SSA Quintile Data (10pct)'!$A$2:$A$44, 0)), "n/a")</f>
        <v>661000</v>
      </c>
      <c r="E40" s="4">
        <f t="shared" si="0"/>
        <v>0.3</v>
      </c>
      <c r="F40" s="4">
        <f t="shared" si="1"/>
        <v>0.47966666666666669</v>
      </c>
      <c r="G40" s="4">
        <f t="shared" si="2"/>
        <v>0.22033333333333333</v>
      </c>
      <c r="H40" s="6">
        <v>4.0000000000000001E-3</v>
      </c>
      <c r="I40" s="6">
        <v>8.5000000000000006E-2</v>
      </c>
      <c r="J40" s="6">
        <v>0.91100000000000003</v>
      </c>
      <c r="K40" s="7">
        <f t="shared" si="3"/>
        <v>69.066666666666677</v>
      </c>
    </row>
    <row r="41" spans="1:11" ht="15" customHeight="1" x14ac:dyDescent="0.3">
      <c r="A41" s="2" t="s">
        <v>85</v>
      </c>
      <c r="B41" s="3">
        <f>IFERROR(INDEX('SSA Total Unelectrified'!$D$2:$D$44, MATCH($A41, 'SSA Total Unelectrified'!$A$2:$A$44, 0)), "n/a")</f>
        <v>1300000</v>
      </c>
      <c r="C41" s="3">
        <f>IFERROR(INDEX('SSA Quintile Data (5pct)'!$I$2:$I$44, MATCH($A41, 'SSA Quintile Data (5pct)'!$A$2:$A$44, 0)), "n/a")</f>
        <v>1000000</v>
      </c>
      <c r="D41" s="3">
        <f>IFERROR(INDEX('SSA Quintile Data (10pct)'!$I$2:$I$44, MATCH($A41, 'SSA Quintile Data (10pct)'!$A$2:$A$44, 0)), "n/a")</f>
        <v>428200</v>
      </c>
      <c r="E41" s="4">
        <f t="shared" si="0"/>
        <v>0.23076923076923078</v>
      </c>
      <c r="F41" s="4">
        <f t="shared" si="1"/>
        <v>0.43984615384615383</v>
      </c>
      <c r="G41" s="4">
        <f t="shared" si="2"/>
        <v>0.32938461538461539</v>
      </c>
      <c r="H41" s="6">
        <v>1E-3</v>
      </c>
      <c r="I41" s="6">
        <v>0.21299999999999999</v>
      </c>
      <c r="J41" s="6">
        <v>0.78500000000000003</v>
      </c>
      <c r="K41" s="7">
        <f t="shared" si="3"/>
        <v>45.561538461538461</v>
      </c>
    </row>
    <row r="42" spans="1:11" ht="15" customHeight="1" x14ac:dyDescent="0.3">
      <c r="A42" s="2" t="s">
        <v>87</v>
      </c>
      <c r="B42" s="3">
        <f>IFERROR(INDEX('SSA Total Unelectrified'!$D$2:$D$44, MATCH($A42, 'SSA Total Unelectrified'!$A$2:$A$44, 0)), "n/a")</f>
        <v>18300000</v>
      </c>
      <c r="C42" s="3">
        <f>IFERROR(INDEX('SSA Quintile Data (5pct)'!$I$2:$I$44, MATCH($A42, 'SSA Quintile Data (5pct)'!$A$2:$A$44, 0)), "n/a")</f>
        <v>12500000</v>
      </c>
      <c r="D42" s="3">
        <f>IFERROR(INDEX('SSA Quintile Data (10pct)'!$I$2:$I$44, MATCH($A42, 'SSA Quintile Data (10pct)'!$A$2:$A$44, 0)), "n/a")</f>
        <v>7400000</v>
      </c>
      <c r="E42" s="4">
        <f t="shared" si="0"/>
        <v>0.31693989071038253</v>
      </c>
      <c r="F42" s="4">
        <f t="shared" si="1"/>
        <v>0.27868852459016391</v>
      </c>
      <c r="G42" s="4">
        <f t="shared" si="2"/>
        <v>0.40437158469945356</v>
      </c>
      <c r="H42" s="8"/>
      <c r="I42" s="8"/>
      <c r="J42" s="8"/>
      <c r="K42" s="7">
        <f t="shared" si="3"/>
        <v>-40.437158469945359</v>
      </c>
    </row>
    <row r="43" spans="1:11" ht="15" customHeight="1" x14ac:dyDescent="0.3">
      <c r="A43" s="2" t="s">
        <v>89</v>
      </c>
      <c r="B43" s="3">
        <f>IFERROR(INDEX('SSA Total Unelectrified'!$D$2:$D$44, MATCH($A43, 'SSA Total Unelectrified'!$A$2:$A$44, 0)), "n/a")</f>
        <v>10600000</v>
      </c>
      <c r="C43" s="3">
        <f>IFERROR(INDEX('SSA Quintile Data (5pct)'!$I$2:$I$44, MATCH($A43, 'SSA Quintile Data (5pct)'!$A$2:$A$44, 0)), "n/a")</f>
        <v>8800000</v>
      </c>
      <c r="D43" s="3">
        <f>IFERROR(INDEX('SSA Quintile Data (10pct)'!$I$2:$I$44, MATCH($A43, 'SSA Quintile Data (10pct)'!$A$2:$A$44, 0)), "n/a")</f>
        <v>1900000</v>
      </c>
      <c r="E43" s="4">
        <f t="shared" si="0"/>
        <v>0.16981132075471697</v>
      </c>
      <c r="F43" s="4">
        <f t="shared" si="1"/>
        <v>0.65094339622641506</v>
      </c>
      <c r="G43" s="4">
        <f t="shared" si="2"/>
        <v>0.17924528301886791</v>
      </c>
      <c r="H43" s="6">
        <v>1E-3</v>
      </c>
      <c r="I43" s="6">
        <v>0.127</v>
      </c>
      <c r="J43" s="6">
        <v>0.872</v>
      </c>
      <c r="K43" s="7">
        <f t="shared" si="3"/>
        <v>69.275471698113208</v>
      </c>
    </row>
    <row r="44" spans="1:11" ht="15" customHeight="1" x14ac:dyDescent="0.3">
      <c r="A44" s="2" t="s">
        <v>91</v>
      </c>
      <c r="B44" s="3">
        <f>IFERROR(INDEX('SSA Total Unelectrified'!$D$2:$D$44, MATCH($A44, 'SSA Total Unelectrified'!$A$2:$A$44, 0)), "n/a")</f>
        <v>213000</v>
      </c>
      <c r="C44" s="3">
        <f>IFERROR(INDEX('SSA Quintile Data (5pct)'!$I$2:$I$44, MATCH($A44, 'SSA Quintile Data (5pct)'!$A$2:$A$44, 0)), "n/a")</f>
        <v>177600</v>
      </c>
      <c r="D44" s="3">
        <f>IFERROR(INDEX('SSA Quintile Data (10pct)'!$I$2:$I$44, MATCH($A44, 'SSA Quintile Data (10pct)'!$A$2:$A$44, 0)), "n/a")</f>
        <v>93800</v>
      </c>
      <c r="E44" s="4">
        <f t="shared" si="0"/>
        <v>0.16619718309859155</v>
      </c>
      <c r="F44" s="4">
        <f t="shared" si="1"/>
        <v>0.39342723004694835</v>
      </c>
      <c r="G44" s="4">
        <f t="shared" si="2"/>
        <v>0.4403755868544601</v>
      </c>
      <c r="H44" s="6">
        <v>0.27600000000000002</v>
      </c>
      <c r="I44" s="6">
        <v>0.30199999999999999</v>
      </c>
      <c r="J44" s="6">
        <v>0.42199999999999999</v>
      </c>
      <c r="K44" s="7">
        <f t="shared" si="3"/>
        <v>-1.8375586854460113</v>
      </c>
    </row>
    <row r="46" spans="1:11" ht="15" customHeight="1" x14ac:dyDescent="0.3">
      <c r="A46" s="9" t="s">
        <v>179</v>
      </c>
      <c r="B46" s="10">
        <f>SUM(B2:B44)</f>
        <v>576762000</v>
      </c>
      <c r="C46" s="10">
        <f>SUM(C2:C44)</f>
        <v>480749700</v>
      </c>
      <c r="D46" s="10">
        <f>SUM(D2:D44)</f>
        <v>311703300</v>
      </c>
      <c r="E46" s="11">
        <f>(B46-C46)/B46</f>
        <v>0.1664677978091483</v>
      </c>
      <c r="F46" s="11">
        <f>(C46-D46)/B46</f>
        <v>0.29309559228936721</v>
      </c>
      <c r="G46" s="11">
        <f>D46/B46</f>
        <v>0.54043660990148445</v>
      </c>
    </row>
    <row r="48" spans="1:11" ht="15" customHeight="1" x14ac:dyDescent="0.3">
      <c r="A48" s="18" t="s">
        <v>180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</row>
  </sheetData>
  <mergeCells count="1">
    <mergeCell ref="A48:K4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SSA Quintile Data (5pct)</vt:lpstr>
      <vt:lpstr>SSA Quintile Data (10pct)</vt:lpstr>
      <vt:lpstr>SSA Total Unelectrified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Shalom Mulinge</cp:lastModifiedBy>
  <cp:revision>0</cp:revision>
  <dcterms:created xsi:type="dcterms:W3CDTF">2026-07-22T18:57:51Z</dcterms:created>
  <dcterms:modified xsi:type="dcterms:W3CDTF">2026-07-29T16:02:20Z</dcterms:modified>
  <dc:language>en-US</dc:language>
</cp:coreProperties>
</file>